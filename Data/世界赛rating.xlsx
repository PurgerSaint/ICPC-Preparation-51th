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sktop\Kindle\ICPC\"/>
    </mc:Choice>
  </mc:AlternateContent>
  <xr:revisionPtr revIDLastSave="0" documentId="13_ncr:1_{3ECD21E8-A1DC-4454-8554-9F84B4FAAD17}" xr6:coauthVersionLast="47" xr6:coauthVersionMax="47" xr10:uidLastSave="{00000000-0000-0000-0000-000000000000}"/>
  <bookViews>
    <workbookView xWindow="11490" yWindow="0" windowWidth="14230" windowHeight="15490" activeTab="1" xr2:uid="{1EDEF933-CD7B-4D76-8186-ADCAC366CF68}"/>
  </bookViews>
  <sheets>
    <sheet name="2025" sheetId="1" r:id="rId1"/>
    <sheet name="2024" sheetId="2" r:id="rId2"/>
    <sheet name="2023" sheetId="5" r:id="rId3"/>
    <sheet name="2022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6" l="1"/>
  <c r="E14" i="6"/>
  <c r="E13" i="6"/>
  <c r="E12" i="6"/>
  <c r="E11" i="6"/>
  <c r="E10" i="6"/>
  <c r="E9" i="6"/>
  <c r="E8" i="6"/>
  <c r="E7" i="6"/>
  <c r="E6" i="6"/>
  <c r="E5" i="6"/>
  <c r="E4" i="6"/>
  <c r="I15" i="6"/>
  <c r="I14" i="6"/>
  <c r="I13" i="6"/>
  <c r="I11" i="6"/>
  <c r="I10" i="6"/>
  <c r="I8" i="6"/>
  <c r="I7" i="6"/>
  <c r="I6" i="6"/>
  <c r="I5" i="6"/>
  <c r="I4" i="6"/>
  <c r="I2" i="6"/>
  <c r="G14" i="6"/>
  <c r="G13" i="6"/>
  <c r="G12" i="6"/>
  <c r="G11" i="6"/>
  <c r="G10" i="6"/>
  <c r="G9" i="6"/>
  <c r="G8" i="6"/>
  <c r="G7" i="6"/>
  <c r="G6" i="6"/>
  <c r="G5" i="6"/>
  <c r="G4" i="6"/>
  <c r="G2" i="6"/>
  <c r="E3" i="6"/>
  <c r="E2" i="6"/>
  <c r="J19" i="6"/>
  <c r="E8" i="5"/>
  <c r="E7" i="5"/>
  <c r="E6" i="5"/>
  <c r="E5" i="5"/>
  <c r="E4" i="5"/>
  <c r="E3" i="5"/>
  <c r="E2" i="5"/>
  <c r="G8" i="5"/>
  <c r="G7" i="5"/>
  <c r="G6" i="5"/>
  <c r="G5" i="5"/>
  <c r="G4" i="5"/>
  <c r="G3" i="5"/>
  <c r="G2" i="5"/>
  <c r="I8" i="5"/>
  <c r="I7" i="5"/>
  <c r="I6" i="5"/>
  <c r="I5" i="5"/>
  <c r="I4" i="5"/>
  <c r="I3" i="5"/>
  <c r="I2" i="5"/>
  <c r="J12" i="5"/>
  <c r="E16" i="1"/>
  <c r="E15" i="1"/>
  <c r="E14" i="1"/>
  <c r="E13" i="1"/>
  <c r="E12" i="1"/>
  <c r="E11" i="1"/>
  <c r="E10" i="1"/>
  <c r="E3" i="1"/>
  <c r="E4" i="1"/>
  <c r="E5" i="1"/>
  <c r="E6" i="1"/>
  <c r="E7" i="1"/>
  <c r="E8" i="1"/>
  <c r="E9" i="1"/>
  <c r="I3" i="2"/>
  <c r="I4" i="2"/>
  <c r="I7" i="2"/>
  <c r="G8" i="2"/>
  <c r="G7" i="2"/>
  <c r="G5" i="2"/>
  <c r="E5" i="2"/>
  <c r="E6" i="2"/>
  <c r="E9" i="2"/>
  <c r="E10" i="2"/>
  <c r="E2" i="2"/>
  <c r="G2" i="2"/>
  <c r="E3" i="2"/>
  <c r="G3" i="2"/>
  <c r="E4" i="2"/>
  <c r="G4" i="2"/>
  <c r="G6" i="2"/>
  <c r="E7" i="2"/>
  <c r="E8" i="2"/>
  <c r="G9" i="2"/>
  <c r="G10" i="2"/>
  <c r="J14" i="2"/>
  <c r="I10" i="2"/>
  <c r="I9" i="2"/>
  <c r="I8" i="2"/>
  <c r="I6" i="2"/>
  <c r="I5" i="2"/>
  <c r="I2" i="2"/>
  <c r="J20" i="1"/>
  <c r="G12" i="1"/>
  <c r="G14" i="1"/>
  <c r="G13" i="1"/>
  <c r="G11" i="1"/>
  <c r="G9" i="1"/>
  <c r="G8" i="1"/>
  <c r="G7" i="1"/>
  <c r="G6" i="1"/>
  <c r="G3" i="1"/>
  <c r="G2" i="1"/>
  <c r="I5" i="1"/>
  <c r="I2" i="1"/>
  <c r="I3" i="1"/>
  <c r="I6" i="1"/>
  <c r="I7" i="1"/>
  <c r="I8" i="1"/>
  <c r="I9" i="1"/>
  <c r="I10" i="1"/>
  <c r="I11" i="1"/>
  <c r="I12" i="1"/>
  <c r="I13" i="1"/>
  <c r="I14" i="1"/>
  <c r="I15" i="1"/>
  <c r="G15" i="1"/>
  <c r="G16" i="1"/>
  <c r="G5" i="1"/>
  <c r="I16" i="1"/>
  <c r="G4" i="1"/>
  <c r="G10" i="1"/>
  <c r="I4" i="1"/>
  <c r="E2" i="1"/>
  <c r="J18" i="6" l="1"/>
  <c r="J17" i="6"/>
  <c r="J11" i="5"/>
  <c r="J10" i="5"/>
  <c r="J19" i="1"/>
  <c r="J18" i="1"/>
  <c r="J13" i="2"/>
  <c r="J12" i="2"/>
</calcChain>
</file>

<file path=xl/sharedStrings.xml><?xml version="1.0" encoding="utf-8"?>
<sst xmlns="http://schemas.openxmlformats.org/spreadsheetml/2006/main" count="275" uniqueCount="163">
  <si>
    <t>Rank</t>
  </si>
  <si>
    <t>Country</t>
  </si>
  <si>
    <t>University</t>
  </si>
  <si>
    <t>Member 1</t>
  </si>
  <si>
    <t>Member 2</t>
  </si>
  <si>
    <t>Member 3</t>
  </si>
  <si>
    <t>Team Rating</t>
  </si>
  <si>
    <t>China</t>
  </si>
  <si>
    <t>ix35</t>
  </si>
  <si>
    <t>He_Ren</t>
  </si>
  <si>
    <t>Su_Zipei</t>
  </si>
  <si>
    <t>Lirnited</t>
  </si>
  <si>
    <t>pb0207</t>
  </si>
  <si>
    <t>froggyzhang</t>
  </si>
  <si>
    <t>RDDCCD</t>
  </si>
  <si>
    <t>wygzgyw</t>
  </si>
  <si>
    <t>Wu_Ren</t>
  </si>
  <si>
    <t>pigstd</t>
  </si>
  <si>
    <t>fengqiyuka</t>
  </si>
  <si>
    <t>ValenciaTravis</t>
  </si>
  <si>
    <t>ArcaStellar</t>
  </si>
  <si>
    <t>BeyondHeaven</t>
  </si>
  <si>
    <t>lqx2005</t>
  </si>
  <si>
    <t>tarjen</t>
  </si>
  <si>
    <t>Inisioc</t>
  </si>
  <si>
    <t>Itisa</t>
  </si>
  <si>
    <t>J_B_Y</t>
  </si>
  <si>
    <t>Nerovix</t>
  </si>
  <si>
    <t>jhdonghj112</t>
  </si>
  <si>
    <t>dengyaotriangle</t>
  </si>
  <si>
    <t>StarSilk</t>
  </si>
  <si>
    <t>aaaaawa</t>
  </si>
  <si>
    <t>tiger2005</t>
  </si>
  <si>
    <t>QuantAsk</t>
  </si>
  <si>
    <t>xwp</t>
  </si>
  <si>
    <t>Yianlaen</t>
  </si>
  <si>
    <t>ybw051114</t>
  </si>
  <si>
    <t>zqyyy</t>
  </si>
  <si>
    <t>Guoyh</t>
  </si>
  <si>
    <t>Wallbreaker5th</t>
  </si>
  <si>
    <t>ethan_enhe</t>
  </si>
  <si>
    <t>Unlimited_zero</t>
  </si>
  <si>
    <t>gvihvo</t>
  </si>
  <si>
    <t>tiny_wavelet</t>
  </si>
  <si>
    <t>Suda</t>
  </si>
  <si>
    <t>ichai</t>
  </si>
  <si>
    <t>waste_f</t>
  </si>
  <si>
    <t>Grice</t>
  </si>
  <si>
    <t>LOOP0</t>
  </si>
  <si>
    <t>C202044zxy</t>
  </si>
  <si>
    <t>ouqingliang</t>
  </si>
  <si>
    <t>Scarlet_Hypoc</t>
  </si>
  <si>
    <t>Iris.T</t>
  </si>
  <si>
    <t>Rating</t>
    <phoneticPr fontId="1" type="noConversion"/>
  </si>
  <si>
    <t>清华大学</t>
    <phoneticPr fontId="1" type="noConversion"/>
  </si>
  <si>
    <t>北京交通大学</t>
    <phoneticPr fontId="1" type="noConversion"/>
  </si>
  <si>
    <t>浙江大学</t>
    <phoneticPr fontId="1" type="noConversion"/>
  </si>
  <si>
    <t>北京邮电大学</t>
    <phoneticPr fontId="1" type="noConversion"/>
  </si>
  <si>
    <t>中南大学</t>
    <phoneticPr fontId="1" type="noConversion"/>
  </si>
  <si>
    <t>南京理工大学</t>
    <phoneticPr fontId="1" type="noConversion"/>
  </si>
  <si>
    <t>哈尔滨工业大学</t>
    <phoneticPr fontId="1" type="noConversion"/>
  </si>
  <si>
    <t>中国科学技术大学</t>
    <phoneticPr fontId="1" type="noConversion"/>
  </si>
  <si>
    <t>南方科技大学</t>
    <phoneticPr fontId="1" type="noConversion"/>
  </si>
  <si>
    <t>中山大学</t>
    <phoneticPr fontId="1" type="noConversion"/>
  </si>
  <si>
    <t>北京航空航天大学</t>
    <phoneticPr fontId="1" type="noConversion"/>
  </si>
  <si>
    <t>上海大学</t>
    <phoneticPr fontId="1" type="noConversion"/>
  </si>
  <si>
    <t>香港大学</t>
    <phoneticPr fontId="1" type="noConversion"/>
  </si>
  <si>
    <t>HK</t>
    <phoneticPr fontId="1" type="noConversion"/>
  </si>
  <si>
    <t>上海交通大学</t>
    <phoneticPr fontId="1" type="noConversion"/>
  </si>
  <si>
    <t>北京大学</t>
    <phoneticPr fontId="1" type="noConversion"/>
  </si>
  <si>
    <t>个人最低Rating</t>
    <phoneticPr fontId="1" type="noConversion"/>
  </si>
  <si>
    <t>个人最高Rating</t>
    <phoneticPr fontId="1" type="noConversion"/>
  </si>
  <si>
    <t>队伍最高Rating</t>
    <phoneticPr fontId="1" type="noConversion"/>
  </si>
  <si>
    <t>wasa855</t>
  </si>
  <si>
    <t>Suika_predator</t>
  </si>
  <si>
    <t>lxlxl</t>
  </si>
  <si>
    <t>lwn_16</t>
  </si>
  <si>
    <t>furry</t>
  </si>
  <si>
    <t>thecold</t>
  </si>
  <si>
    <t>CSHwang</t>
  </si>
  <si>
    <t>EternalAlexander</t>
  </si>
  <si>
    <t>Yaimsea</t>
  </si>
  <si>
    <t>DanWin</t>
  </si>
  <si>
    <t>-skyline-</t>
  </si>
  <si>
    <t>uuzlovetree</t>
  </si>
  <si>
    <t>remoon</t>
  </si>
  <si>
    <t>leukocyte</t>
  </si>
  <si>
    <t>axs7384</t>
  </si>
  <si>
    <t>Vingying0</t>
  </si>
  <si>
    <t>w4p3r</t>
  </si>
  <si>
    <t>FavorGew</t>
  </si>
  <si>
    <t>daniel14311531</t>
  </si>
  <si>
    <t>Rebelz</t>
  </si>
  <si>
    <t>LJC00118</t>
  </si>
  <si>
    <t>qazswedx2</t>
  </si>
  <si>
    <t>xay5421</t>
  </si>
  <si>
    <t>hehezhou</t>
  </si>
  <si>
    <t>南京大学</t>
    <phoneticPr fontId="1" type="noConversion"/>
  </si>
  <si>
    <t>武汉理工大学</t>
    <phoneticPr fontId="1" type="noConversion"/>
  </si>
  <si>
    <t>东北大学</t>
    <phoneticPr fontId="1" type="noConversion"/>
  </si>
  <si>
    <t>Warriors_fsy</t>
  </si>
  <si>
    <t>Cirno_9baka</t>
  </si>
  <si>
    <t>A.K.E.E.</t>
  </si>
  <si>
    <t>Roundgod</t>
  </si>
  <si>
    <t>triple__a</t>
  </si>
  <si>
    <t>installb</t>
  </si>
  <si>
    <t>czjxyz</t>
  </si>
  <si>
    <t>AbelCat</t>
  </si>
  <si>
    <t>JJLeo</t>
  </si>
  <si>
    <t>2sozx</t>
  </si>
  <si>
    <t>Bazoka13</t>
  </si>
  <si>
    <t>yzyyylx</t>
  </si>
  <si>
    <t>Weierstrass</t>
  </si>
  <si>
    <t>GCCCCCCC</t>
  </si>
  <si>
    <t>Jelefy</t>
  </si>
  <si>
    <t>verjun</t>
  </si>
  <si>
    <t>liar_frisky</t>
  </si>
  <si>
    <t>p_b_p_b</t>
  </si>
  <si>
    <t>skip2004</t>
  </si>
  <si>
    <t>QAQAutoMaton</t>
  </si>
  <si>
    <t>gisp_zjz</t>
  </si>
  <si>
    <t>华中科技大学</t>
    <phoneticPr fontId="1" type="noConversion"/>
  </si>
  <si>
    <t>电子科技大学</t>
    <phoneticPr fontId="1" type="noConversion"/>
  </si>
  <si>
    <t>jiangly</t>
  </si>
  <si>
    <t>yasugongshang</t>
  </si>
  <si>
    <t>ugly2333</t>
  </si>
  <si>
    <t>*? ?</t>
  </si>
  <si>
    <t>cz_xuyixuan</t>
  </si>
  <si>
    <t>FizzyDavid</t>
  </si>
  <si>
    <t>ohweonfire</t>
  </si>
  <si>
    <t>Sugar_fan</t>
  </si>
  <si>
    <t>SSerxhs</t>
  </si>
  <si>
    <t>l1ll5</t>
  </si>
  <si>
    <t>satoshi</t>
  </si>
  <si>
    <t>DistantYesterday</t>
  </si>
  <si>
    <t>SunshinePie</t>
  </si>
  <si>
    <t>fallleaves01</t>
  </si>
  <si>
    <t>OMG_link</t>
  </si>
  <si>
    <t>smzzl</t>
  </si>
  <si>
    <t>superguymj</t>
  </si>
  <si>
    <t>reltiH233</t>
  </si>
  <si>
    <t>Joyemang</t>
  </si>
  <si>
    <t>MooNight</t>
  </si>
  <si>
    <t>forxen</t>
  </si>
  <si>
    <t>chen_zexing</t>
  </si>
  <si>
    <t>whfym</t>
  </si>
  <si>
    <t>cjj490168650</t>
  </si>
  <si>
    <t>Timsei</t>
  </si>
  <si>
    <t>applese</t>
  </si>
  <si>
    <t>tyler178</t>
  </si>
  <si>
    <t>Serval</t>
  </si>
  <si>
    <t>Oshwiciqwqq</t>
  </si>
  <si>
    <t>Zayin</t>
  </si>
  <si>
    <t>PureWhite</t>
  </si>
  <si>
    <t>kqp</t>
  </si>
  <si>
    <t>LittleBeetle</t>
  </si>
  <si>
    <t>_-_</t>
  </si>
  <si>
    <t>PolyLoger</t>
  </si>
  <si>
    <t>暨南大学</t>
    <phoneticPr fontId="1" type="noConversion"/>
  </si>
  <si>
    <t>北京理工大学</t>
    <phoneticPr fontId="1" type="noConversion"/>
  </si>
  <si>
    <t>西安交通大学</t>
    <phoneticPr fontId="1" type="noConversion"/>
  </si>
  <si>
    <t>南京邮电大学</t>
    <phoneticPr fontId="1" type="noConversion"/>
  </si>
  <si>
    <t>lyx_cjz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</si>
</sst>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>
      <alignment vertical="center"/>
    </xf>
    <xf numFmtId="0" fontId="3" fillId="0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常规" xfId="0" builtinId="0"/>
  </cellStyles>
  <dxfs count="48">
    <dxf>
      <font>
        <strike val="0"/>
        <color theme="2" tint="-0.24994659260841701"/>
      </font>
    </dxf>
    <dxf>
      <font>
        <color rgb="FF0070C0"/>
      </font>
    </dxf>
    <dxf>
      <font>
        <color theme="8"/>
      </font>
    </dxf>
    <dxf>
      <font>
        <color theme="5"/>
      </font>
    </dxf>
    <dxf>
      <font>
        <color theme="5" tint="-0.24994659260841701"/>
      </font>
    </dxf>
    <dxf>
      <font>
        <color rgb="FFFF0000"/>
      </font>
    </dxf>
    <dxf>
      <font>
        <color rgb="FFC00000"/>
      </font>
    </dxf>
    <dxf>
      <font>
        <b/>
        <i val="0"/>
        <color rgb="FFFF0000"/>
      </font>
    </dxf>
    <dxf>
      <font>
        <strike val="0"/>
        <color theme="2" tint="-0.24994659260841701"/>
      </font>
    </dxf>
    <dxf>
      <font>
        <color rgb="FF0070C0"/>
      </font>
    </dxf>
    <dxf>
      <font>
        <color theme="8"/>
      </font>
    </dxf>
    <dxf>
      <font>
        <color theme="5"/>
      </font>
    </dxf>
    <dxf>
      <font>
        <color theme="5" tint="-0.24994659260841701"/>
      </font>
    </dxf>
    <dxf>
      <font>
        <color rgb="FFFF0000"/>
      </font>
    </dxf>
    <dxf>
      <font>
        <color rgb="FFC00000"/>
      </font>
    </dxf>
    <dxf>
      <font>
        <b/>
        <i val="0"/>
        <color rgb="FFFF0000"/>
      </font>
    </dxf>
    <dxf>
      <font>
        <strike val="0"/>
        <color theme="2" tint="-0.24994659260841701"/>
      </font>
    </dxf>
    <dxf>
      <font>
        <color rgb="FF0070C0"/>
      </font>
    </dxf>
    <dxf>
      <font>
        <color theme="8"/>
      </font>
    </dxf>
    <dxf>
      <font>
        <color theme="5"/>
      </font>
    </dxf>
    <dxf>
      <font>
        <color theme="5" tint="-0.24994659260841701"/>
      </font>
    </dxf>
    <dxf>
      <font>
        <color rgb="FFFF0000"/>
      </font>
    </dxf>
    <dxf>
      <font>
        <color rgb="FFC00000"/>
      </font>
    </dxf>
    <dxf>
      <font>
        <b/>
        <i val="0"/>
        <color rgb="FFFF0000"/>
      </font>
    </dxf>
    <dxf>
      <font>
        <strike val="0"/>
        <color theme="2" tint="-0.24994659260841701"/>
      </font>
    </dxf>
    <dxf>
      <font>
        <color rgb="FF0070C0"/>
      </font>
    </dxf>
    <dxf>
      <font>
        <color theme="8"/>
      </font>
    </dxf>
    <dxf>
      <font>
        <color theme="5"/>
      </font>
    </dxf>
    <dxf>
      <font>
        <color theme="5" tint="-0.24994659260841701"/>
      </font>
    </dxf>
    <dxf>
      <font>
        <color rgb="FFFF0000"/>
      </font>
    </dxf>
    <dxf>
      <font>
        <color rgb="FFC00000"/>
      </font>
    </dxf>
    <dxf>
      <font>
        <b/>
        <i val="0"/>
        <color rgb="FFFF0000"/>
      </font>
    </dxf>
    <dxf>
      <font>
        <strike val="0"/>
        <color theme="2" tint="-0.24994659260841701"/>
      </font>
    </dxf>
    <dxf>
      <font>
        <color rgb="FF0070C0"/>
      </font>
    </dxf>
    <dxf>
      <font>
        <color theme="8"/>
      </font>
    </dxf>
    <dxf>
      <font>
        <color theme="5"/>
      </font>
    </dxf>
    <dxf>
      <font>
        <color theme="5" tint="-0.24994659260841701"/>
      </font>
    </dxf>
    <dxf>
      <font>
        <color rgb="FFFF0000"/>
      </font>
    </dxf>
    <dxf>
      <font>
        <color rgb="FFC00000"/>
      </font>
    </dxf>
    <dxf>
      <font>
        <b/>
        <i val="0"/>
        <color rgb="FFFF0000"/>
      </font>
    </dxf>
    <dxf>
      <font>
        <strike val="0"/>
        <color theme="2" tint="-0.24994659260841701"/>
      </font>
    </dxf>
    <dxf>
      <font>
        <color rgb="FF0070C0"/>
      </font>
    </dxf>
    <dxf>
      <font>
        <color theme="8"/>
      </font>
    </dxf>
    <dxf>
      <font>
        <color theme="5"/>
      </font>
    </dxf>
    <dxf>
      <font>
        <color theme="5" tint="-0.24994659260841701"/>
      </font>
    </dxf>
    <dxf>
      <font>
        <color rgb="FFFF0000"/>
      </font>
    </dxf>
    <dxf>
      <font>
        <color rgb="FFC0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DE7F-3133-4407-9F72-F0375CC243F1}">
  <dimension ref="A1:J20"/>
  <sheetViews>
    <sheetView workbookViewId="0">
      <selection activeCell="E16" sqref="E4:E16"/>
    </sheetView>
  </sheetViews>
  <sheetFormatPr defaultRowHeight="14" x14ac:dyDescent="0.3"/>
  <cols>
    <col min="1" max="1" width="5.1640625" bestFit="1" customWidth="1"/>
    <col min="2" max="2" width="7.5" bestFit="1" customWidth="1"/>
    <col min="3" max="3" width="18.33203125" customWidth="1"/>
    <col min="5" max="5" width="6.25" customWidth="1"/>
    <col min="6" max="6" width="11.9140625" bestFit="1" customWidth="1"/>
    <col min="7" max="7" width="6.25" customWidth="1"/>
    <col min="8" max="8" width="12.6640625" bestFit="1" customWidth="1"/>
    <col min="9" max="10" width="6.25" customWidth="1"/>
  </cols>
  <sheetData>
    <row r="1" spans="1:10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4</v>
      </c>
      <c r="G1" s="1" t="s">
        <v>53</v>
      </c>
      <c r="H1" s="1" t="s">
        <v>5</v>
      </c>
      <c r="I1" s="1" t="s">
        <v>53</v>
      </c>
      <c r="J1" s="1" t="s">
        <v>6</v>
      </c>
    </row>
    <row r="2" spans="1:10" x14ac:dyDescent="0.3">
      <c r="A2" s="2">
        <v>1</v>
      </c>
      <c r="B2" s="2" t="s">
        <v>7</v>
      </c>
      <c r="C2" s="7" t="s">
        <v>54</v>
      </c>
      <c r="D2" s="4" t="s">
        <v>8</v>
      </c>
      <c r="E2" s="5">
        <f>_xlfn.LET(
  _xlpm.j, _xlfn.WEBSERVICE("https://codeforces.com/api/user.info?handles=" &amp; $D2),
  _xlpm.r, _xlfn.TEXTBEFORE(_xlfn.TEXTAFTER(_xlpm.j, """rating"":"), ","),
  IFERROR(--_xlpm.r, "未评级/无数据")
)</f>
        <v>2552</v>
      </c>
      <c r="F2" s="4" t="s">
        <v>9</v>
      </c>
      <c r="G2" s="5">
        <f>_xlfn.LET(
  _xlpm.j, _xlfn.WEBSERVICE("https://codeforces.com/api/user.info?handles=" &amp; $F2),
  _xlpm.r, _xlfn.TEXTBEFORE(_xlfn.TEXTAFTER(_xlpm.j, """rating"":"), ","),
  IFERROR(--_xlpm.r, "未评级/无数据")
)</f>
        <v>2950</v>
      </c>
      <c r="H2" s="4" t="s">
        <v>29</v>
      </c>
      <c r="I2" s="5">
        <f>_xlfn.LET(
  _xlpm.j, _xlfn.WEBSERVICE("https://codeforces.com/api/user.info?handles=" &amp; $H2),
  _xlpm.r, _xlfn.TEXTBEFORE(_xlfn.TEXTAFTER(_xlpm.j, """rating"":"), ","),
  IFERROR(--_xlpm.r, "未评级/无数据")
)</f>
        <v>3047</v>
      </c>
      <c r="J2" s="2">
        <v>3165</v>
      </c>
    </row>
    <row r="3" spans="1:10" x14ac:dyDescent="0.3">
      <c r="A3" s="2">
        <v>2</v>
      </c>
      <c r="B3" s="2" t="s">
        <v>7</v>
      </c>
      <c r="C3" s="7" t="s">
        <v>55</v>
      </c>
      <c r="D3" s="4" t="s">
        <v>10</v>
      </c>
      <c r="E3" s="5">
        <f>_xlfn.LET(
  _xlpm.j, _xlfn.WEBSERVICE("https://codeforces.com/api/user.info?handles=" &amp; $D3),
  _xlpm.r, _xlfn.TEXTBEFORE(_xlfn.TEXTAFTER(_xlpm.j, """rating"":"), ","),
  IFERROR(--_xlpm.r, "未评级/无数据")
)</f>
        <v>2709</v>
      </c>
      <c r="F3" s="4" t="s">
        <v>30</v>
      </c>
      <c r="G3" s="5">
        <f>_xlfn.LET(
  _xlpm.j, _xlfn.WEBSERVICE("https://codeforces.com/api/user.info?handles=" &amp; $F3),
  _xlpm.r, _xlfn.TEXTBEFORE(_xlfn.TEXTAFTER(_xlpm.j, """rating"":"), ","),
  IFERROR(--_xlpm.r, "未评级/无数据")
)</f>
        <v>3083</v>
      </c>
      <c r="H3" s="4" t="s">
        <v>11</v>
      </c>
      <c r="I3" s="5">
        <f>_xlfn.LET(
  _xlpm.j, _xlfn.WEBSERVICE("https://codeforces.com/api/user.info?handles=" &amp; $H3),
  _xlpm.r, _xlfn.TEXTBEFORE(_xlfn.TEXTAFTER(_xlpm.j, """rating"":"), ","),
  IFERROR(--_xlpm.r, "未评级/无数据")
)</f>
        <v>2208</v>
      </c>
      <c r="J3" s="2">
        <v>3141</v>
      </c>
    </row>
    <row r="4" spans="1:10" x14ac:dyDescent="0.3">
      <c r="A4" s="2">
        <v>3</v>
      </c>
      <c r="B4" s="2" t="s">
        <v>7</v>
      </c>
      <c r="C4" s="7" t="s">
        <v>56</v>
      </c>
      <c r="D4" s="4" t="s">
        <v>12</v>
      </c>
      <c r="E4" s="5">
        <f t="shared" ref="E3:E16" si="0">_xlfn.LET(
  _xlpm.j, _xlfn.WEBSERVICE("https://codeforces.com/api/user.info?handles=" &amp; $D4),
  _xlpm.r, _xlfn.TEXTBEFORE(_xlfn.TEXTAFTER(_xlpm.j, """rating"":"), ","),
  IFERROR(--_xlpm.r, "未评级/无数据")
)</f>
        <v>2617</v>
      </c>
      <c r="F4" s="4" t="s">
        <v>13</v>
      </c>
      <c r="G4" s="5">
        <f t="shared" ref="G3:G16" si="1">_xlfn.LET(
  _xlpm.j, _xlfn.WEBSERVICE("https://codeforces.com/api/user.info?handles=" &amp; $F4),
  _xlpm.r, _xlfn.TEXTBEFORE(_xlfn.TEXTAFTER(_xlpm.j, """rating"":"), ","),
  IFERROR(--_xlpm.r, "未评级/无数据")
)</f>
        <v>2940</v>
      </c>
      <c r="H4" s="4" t="s">
        <v>14</v>
      </c>
      <c r="I4" s="5">
        <f t="shared" ref="I3:I16" si="2">_xlfn.LET(
  _xlpm.j, _xlfn.WEBSERVICE("https://codeforces.com/api/user.info?handles=" &amp; $H4),
  _xlpm.r, _xlfn.TEXTBEFORE(_xlfn.TEXTAFTER(_xlpm.j, """rating"":"), ","),
  IFERROR(--_xlpm.r, "未评级/无数据")
)</f>
        <v>2666</v>
      </c>
      <c r="J4" s="2">
        <v>3056</v>
      </c>
    </row>
    <row r="5" spans="1:10" x14ac:dyDescent="0.3">
      <c r="A5" s="2">
        <v>4</v>
      </c>
      <c r="B5" s="2" t="s">
        <v>7</v>
      </c>
      <c r="C5" s="7" t="s">
        <v>69</v>
      </c>
      <c r="D5" s="4" t="s">
        <v>15</v>
      </c>
      <c r="E5" s="5">
        <f t="shared" si="0"/>
        <v>2659</v>
      </c>
      <c r="F5" s="4" t="s">
        <v>31</v>
      </c>
      <c r="G5" s="5">
        <f>_xlfn.LET(
  _xlpm.j, _xlfn.WEBSERVICE("https://codeforces.com/api/user.info?handles=" &amp; $F5),
  _xlpm.r, _xlfn.TEXTBEFORE(_xlfn.TEXTAFTER(_xlpm.j, """rating"":"), ","),
  IFERROR(--_xlpm.r, "未评级/无数据")
)</f>
        <v>3011</v>
      </c>
      <c r="H5" s="4" t="s">
        <v>16</v>
      </c>
      <c r="I5" s="5">
        <f>_xlfn.LET(
  _xlpm.j, _xlfn.WEBSERVICE("https://codeforces.com/api/user.info?handles=" &amp; $H5),
  _xlpm.r, _xlfn.TEXTBEFORE(_xlfn.TEXTAFTER(_xlpm.j, """rating"":"), ","),
  IFERROR(--_xlpm.r, "未评级/无数据")
)</f>
        <v>2398</v>
      </c>
      <c r="J5" s="2">
        <v>3055</v>
      </c>
    </row>
    <row r="6" spans="1:10" x14ac:dyDescent="0.3">
      <c r="A6" s="2">
        <v>5</v>
      </c>
      <c r="B6" s="2" t="s">
        <v>7</v>
      </c>
      <c r="C6" s="7" t="s">
        <v>68</v>
      </c>
      <c r="D6" s="4" t="s">
        <v>17</v>
      </c>
      <c r="E6" s="5">
        <f t="shared" si="0"/>
        <v>2947</v>
      </c>
      <c r="F6" s="4" t="s">
        <v>18</v>
      </c>
      <c r="G6" s="5">
        <f>_xlfn.LET(
  _xlpm.j, _xlfn.WEBSERVICE("https://codeforces.com/api/user.info?handles=" &amp; $F6),
  _xlpm.r, _xlfn.TEXTBEFORE(_xlfn.TEXTAFTER(_xlpm.j, """rating"":"), ","),
  IFERROR(--_xlpm.r, "未评级/无数据")
)</f>
        <v>2793</v>
      </c>
      <c r="H6" s="4" t="s">
        <v>19</v>
      </c>
      <c r="I6" s="5">
        <f>_xlfn.LET(
  _xlpm.j, _xlfn.WEBSERVICE("https://codeforces.com/api/user.info?handles=" &amp; $H6),
  _xlpm.r, _xlfn.TEXTBEFORE(_xlfn.TEXTAFTER(_xlpm.j, """rating"":"), ","),
  IFERROR(--_xlpm.r, "未评级/无数据")
)</f>
        <v>2381</v>
      </c>
      <c r="J6" s="2">
        <v>2891</v>
      </c>
    </row>
    <row r="7" spans="1:10" x14ac:dyDescent="0.3">
      <c r="A7" s="2">
        <v>6</v>
      </c>
      <c r="B7" s="2" t="s">
        <v>67</v>
      </c>
      <c r="C7" s="7" t="s">
        <v>66</v>
      </c>
      <c r="D7" s="4" t="s">
        <v>20</v>
      </c>
      <c r="E7" s="5">
        <f t="shared" si="0"/>
        <v>1765</v>
      </c>
      <c r="F7" s="4" t="s">
        <v>21</v>
      </c>
      <c r="G7" s="5">
        <f>_xlfn.LET(
  _xlpm.j, _xlfn.WEBSERVICE("https://codeforces.com/api/user.info?handles=" &amp; $F7),
  _xlpm.r, _xlfn.TEXTBEFORE(_xlfn.TEXTAFTER(_xlpm.j, """rating"":"), ","),
  IFERROR(--_xlpm.r, "未评级/无数据")
)</f>
        <v>2724</v>
      </c>
      <c r="H7" s="4" t="s">
        <v>22</v>
      </c>
      <c r="I7" s="5">
        <f>_xlfn.LET(
  _xlpm.j, _xlfn.WEBSERVICE("https://codeforces.com/api/user.info?handles=" &amp; $H7),
  _xlpm.r, _xlfn.TEXTBEFORE(_xlfn.TEXTAFTER(_xlpm.j, """rating"":"), ","),
  IFERROR(--_xlpm.r, "未评级/无数据")
)</f>
        <v>2742</v>
      </c>
      <c r="J7" s="2">
        <v>2887</v>
      </c>
    </row>
    <row r="8" spans="1:10" x14ac:dyDescent="0.3">
      <c r="A8" s="2">
        <v>7</v>
      </c>
      <c r="B8" s="2" t="s">
        <v>7</v>
      </c>
      <c r="C8" s="7" t="s">
        <v>65</v>
      </c>
      <c r="D8" s="4" t="s">
        <v>23</v>
      </c>
      <c r="E8" s="5">
        <f t="shared" si="0"/>
        <v>2629</v>
      </c>
      <c r="F8" s="4" t="s">
        <v>24</v>
      </c>
      <c r="G8" s="5">
        <f>_xlfn.LET(
  _xlpm.j, _xlfn.WEBSERVICE("https://codeforces.com/api/user.info?handles=" &amp; $F8),
  _xlpm.r, _xlfn.TEXTBEFORE(_xlfn.TEXTAFTER(_xlpm.j, """rating"":"), ","),
  IFERROR(--_xlpm.r, "未评级/无数据")
)</f>
        <v>1795</v>
      </c>
      <c r="H8" s="4" t="s">
        <v>25</v>
      </c>
      <c r="I8" s="5">
        <f>_xlfn.LET(
  _xlpm.j, _xlfn.WEBSERVICE("https://codeforces.com/api/user.info?handles=" &amp; $H8),
  _xlpm.r, _xlfn.TEXTBEFORE(_xlfn.TEXTAFTER(_xlpm.j, """rating"":"), ","),
  IFERROR(--_xlpm.r, "未评级/无数据")
)</f>
        <v>1992</v>
      </c>
      <c r="J8" s="2">
        <v>2752</v>
      </c>
    </row>
    <row r="9" spans="1:10" x14ac:dyDescent="0.3">
      <c r="A9" s="3">
        <v>8</v>
      </c>
      <c r="B9" s="3" t="s">
        <v>7</v>
      </c>
      <c r="C9" s="8" t="s">
        <v>64</v>
      </c>
      <c r="D9" s="6" t="s">
        <v>26</v>
      </c>
      <c r="E9" s="5">
        <f t="shared" si="0"/>
        <v>2457</v>
      </c>
      <c r="F9" s="6" t="s">
        <v>27</v>
      </c>
      <c r="G9" s="5">
        <f>_xlfn.LET(
  _xlpm.j, _xlfn.WEBSERVICE("https://codeforces.com/api/user.info?handles=" &amp; $F9),
  _xlpm.r, _xlfn.TEXTBEFORE(_xlfn.TEXTAFTER(_xlpm.j, """rating"":"), ","),
  IFERROR(--_xlpm.r, "未评级/无数据")
)</f>
        <v>2426</v>
      </c>
      <c r="H9" s="6" t="s">
        <v>28</v>
      </c>
      <c r="I9" s="5">
        <f>_xlfn.LET(
  _xlpm.j, _xlfn.WEBSERVICE("https://codeforces.com/api/user.info?handles=" &amp; $H9),
  _xlpm.r, _xlfn.TEXTBEFORE(_xlfn.TEXTAFTER(_xlpm.j, """rating"":"), ","),
  IFERROR(--_xlpm.r, "未评级/无数据")
)</f>
        <v>2380</v>
      </c>
      <c r="J9" s="3">
        <v>2731</v>
      </c>
    </row>
    <row r="10" spans="1:10" x14ac:dyDescent="0.3">
      <c r="A10" s="2">
        <v>9</v>
      </c>
      <c r="B10" s="2" t="s">
        <v>7</v>
      </c>
      <c r="C10" s="7" t="s">
        <v>63</v>
      </c>
      <c r="D10" s="4" t="s">
        <v>32</v>
      </c>
      <c r="E10" s="5">
        <f>_xlfn.LET(
  _xlpm.j, _xlfn.WEBSERVICE("https://codeforces.com/api/user.info?handles=" &amp; $D10),
  _xlpm.r, _xlfn.TEXTBEFORE(_xlfn.TEXTAFTER(_xlpm.j, """rating"":"), ","),
  IFERROR(--_xlpm.r, "未评级/无数据")
)</f>
        <v>3019</v>
      </c>
      <c r="F10" s="4" t="s">
        <v>33</v>
      </c>
      <c r="G10" s="5">
        <f t="shared" si="1"/>
        <v>2218</v>
      </c>
      <c r="H10" s="4" t="s">
        <v>34</v>
      </c>
      <c r="I10" s="5">
        <f>_xlfn.LET(
  _xlpm.j, _xlfn.WEBSERVICE("https://codeforces.com/api/user.info?handles=" &amp; $H10),
  _xlpm.r, _xlfn.TEXTBEFORE(_xlfn.TEXTAFTER(_xlpm.j, """rating"":"), ","),
  IFERROR(--_xlpm.r, "未评级/无数据")
)</f>
        <v>2234</v>
      </c>
      <c r="J10" s="2">
        <v>2675</v>
      </c>
    </row>
    <row r="11" spans="1:10" x14ac:dyDescent="0.3">
      <c r="A11" s="2">
        <v>10</v>
      </c>
      <c r="B11" s="2" t="s">
        <v>7</v>
      </c>
      <c r="C11" s="7" t="s">
        <v>62</v>
      </c>
      <c r="D11" s="4" t="s">
        <v>35</v>
      </c>
      <c r="E11" s="5">
        <f>_xlfn.LET(
  _xlpm.j, _xlfn.WEBSERVICE("https://codeforces.com/api/user.info?handles=" &amp; $D11),
  _xlpm.r, _xlfn.TEXTBEFORE(_xlfn.TEXTAFTER(_xlpm.j, """rating"":"), ","),
  IFERROR(--_xlpm.r, "未评级/无数据")
)</f>
        <v>2426</v>
      </c>
      <c r="F11" s="4" t="s">
        <v>36</v>
      </c>
      <c r="G11" s="5">
        <f>_xlfn.LET(
  _xlpm.j, _xlfn.WEBSERVICE("https://codeforces.com/api/user.info?handles=" &amp; $F11),
  _xlpm.r, _xlfn.TEXTBEFORE(_xlfn.TEXTAFTER(_xlpm.j, """rating"":"), ","),
  IFERROR(--_xlpm.r, "未评级/无数据")
)</f>
        <v>2278</v>
      </c>
      <c r="H11" s="4" t="s">
        <v>37</v>
      </c>
      <c r="I11" s="5">
        <f>_xlfn.LET(
  _xlpm.j, _xlfn.WEBSERVICE("https://codeforces.com/api/user.info?handles=" &amp; $H11),
  _xlpm.r, _xlfn.TEXTBEFORE(_xlfn.TEXTAFTER(_xlpm.j, """rating"":"), ","),
  IFERROR(--_xlpm.r, "未评级/无数据")
)</f>
        <v>2496</v>
      </c>
      <c r="J11" s="2">
        <v>2652</v>
      </c>
    </row>
    <row r="12" spans="1:10" x14ac:dyDescent="0.3">
      <c r="A12" s="2">
        <v>11</v>
      </c>
      <c r="B12" s="2" t="s">
        <v>7</v>
      </c>
      <c r="C12" s="7" t="s">
        <v>61</v>
      </c>
      <c r="D12" s="4" t="s">
        <v>38</v>
      </c>
      <c r="E12" s="5">
        <f>_xlfn.LET(
  _xlpm.j, _xlfn.WEBSERVICE("https://codeforces.com/api/user.info?handles=" &amp; $D12),
  _xlpm.r, _xlfn.TEXTBEFORE(_xlfn.TEXTAFTER(_xlpm.j, """rating"":"), ","),
  IFERROR(--_xlpm.r, "未评级/无数据")
)</f>
        <v>2460</v>
      </c>
      <c r="F12" s="4" t="s">
        <v>39</v>
      </c>
      <c r="G12" s="5">
        <f>_xlfn.LET(
  _xlpm.j, _xlfn.WEBSERVICE("https://codeforces.com/api/user.info?handles=" &amp; $F12),
  _xlpm.r, _xlfn.TEXTBEFORE(_xlfn.TEXTAFTER(_xlpm.j, """rating"":"), ","),
  IFERROR(--_xlpm.r, "未评级/无数据")
)</f>
        <v>2279</v>
      </c>
      <c r="H12" s="4" t="s">
        <v>40</v>
      </c>
      <c r="I12" s="5">
        <f>_xlfn.LET(
  _xlpm.j, _xlfn.WEBSERVICE("https://codeforces.com/api/user.info?handles=" &amp; $H12),
  _xlpm.r, _xlfn.TEXTBEFORE(_xlfn.TEXTAFTER(_xlpm.j, """rating"":"), ","),
  IFERROR(--_xlpm.r, "未评级/无数据")
)</f>
        <v>2430</v>
      </c>
      <c r="J12" s="2">
        <v>2650</v>
      </c>
    </row>
    <row r="13" spans="1:10" x14ac:dyDescent="0.3">
      <c r="A13" s="2">
        <v>12</v>
      </c>
      <c r="B13" s="2" t="s">
        <v>7</v>
      </c>
      <c r="C13" s="7" t="s">
        <v>60</v>
      </c>
      <c r="D13" s="4" t="s">
        <v>41</v>
      </c>
      <c r="E13" s="5">
        <f>_xlfn.LET(
  _xlpm.j, _xlfn.WEBSERVICE("https://codeforces.com/api/user.info?handles=" &amp; $D13),
  _xlpm.r, _xlfn.TEXTBEFORE(_xlfn.TEXTAFTER(_xlpm.j, """rating"":"), ","),
  IFERROR(--_xlpm.r, "未评级/无数据")
)</f>
        <v>2281</v>
      </c>
      <c r="F13" s="4" t="s">
        <v>42</v>
      </c>
      <c r="G13" s="5">
        <f>_xlfn.LET(
  _xlpm.j, _xlfn.WEBSERVICE("https://codeforces.com/api/user.info?handles=" &amp; $F13),
  _xlpm.r, _xlfn.TEXTBEFORE(_xlfn.TEXTAFTER(_xlpm.j, """rating"":"), ","),
  IFERROR(--_xlpm.r, "未评级/无数据")
)</f>
        <v>2409</v>
      </c>
      <c r="H13" s="4" t="s">
        <v>43</v>
      </c>
      <c r="I13" s="5">
        <f>_xlfn.LET(
  _xlpm.j, _xlfn.WEBSERVICE("https://codeforces.com/api/user.info?handles=" &amp; $H13),
  _xlpm.r, _xlfn.TEXTBEFORE(_xlfn.TEXTAFTER(_xlpm.j, """rating"":"), ","),
  IFERROR(--_xlpm.r, "未评级/无数据")
)</f>
        <v>2447</v>
      </c>
      <c r="J13" s="2">
        <v>2562</v>
      </c>
    </row>
    <row r="14" spans="1:10" x14ac:dyDescent="0.3">
      <c r="A14" s="2">
        <v>13</v>
      </c>
      <c r="B14" s="2" t="s">
        <v>7</v>
      </c>
      <c r="C14" s="7" t="s">
        <v>59</v>
      </c>
      <c r="D14" s="4" t="s">
        <v>44</v>
      </c>
      <c r="E14" s="5">
        <f>_xlfn.LET(
  _xlpm.j, _xlfn.WEBSERVICE("https://codeforces.com/api/user.info?handles=" &amp; $D14),
  _xlpm.r, _xlfn.TEXTBEFORE(_xlfn.TEXTAFTER(_xlpm.j, """rating"":"), ","),
  IFERROR(--_xlpm.r, "未评级/无数据")
)</f>
        <v>2431</v>
      </c>
      <c r="F14" s="4" t="s">
        <v>45</v>
      </c>
      <c r="G14" s="5">
        <f>_xlfn.LET(
  _xlpm.j, _xlfn.WEBSERVICE("https://codeforces.com/api/user.info?handles=" &amp; $F14),
  _xlpm.r, _xlfn.TEXTBEFORE(_xlfn.TEXTAFTER(_xlpm.j, """rating"":"), ","),
  IFERROR(--_xlpm.r, "未评级/无数据")
)</f>
        <v>2109</v>
      </c>
      <c r="H14" s="4" t="s">
        <v>46</v>
      </c>
      <c r="I14" s="5">
        <f>_xlfn.LET(
  _xlpm.j, _xlfn.WEBSERVICE("https://codeforces.com/api/user.info?handles=" &amp; $H14),
  _xlpm.r, _xlfn.TEXTBEFORE(_xlfn.TEXTAFTER(_xlpm.j, """rating"":"), ","),
  IFERROR(--_xlpm.r, "未评级/无数据")
)</f>
        <v>2196</v>
      </c>
      <c r="J14" s="2">
        <v>2530</v>
      </c>
    </row>
    <row r="15" spans="1:10" x14ac:dyDescent="0.3">
      <c r="A15" s="2">
        <v>14</v>
      </c>
      <c r="B15" s="2" t="s">
        <v>7</v>
      </c>
      <c r="C15" s="7" t="s">
        <v>58</v>
      </c>
      <c r="D15" s="4" t="s">
        <v>47</v>
      </c>
      <c r="E15" s="5">
        <f>_xlfn.LET(
  _xlpm.j, _xlfn.WEBSERVICE("https://codeforces.com/api/user.info?handles=" &amp; $D15),
  _xlpm.r, _xlfn.TEXTBEFORE(_xlfn.TEXTAFTER(_xlpm.j, """rating"":"), ","),
  IFERROR(--_xlpm.r, "未评级/无数据")
)</f>
        <v>2240</v>
      </c>
      <c r="F15" s="4" t="s">
        <v>48</v>
      </c>
      <c r="G15" s="5">
        <f t="shared" ref="G15:G16" si="3">_xlfn.LET(
  _xlpm.j, _xlfn.WEBSERVICE("https://codeforces.com/api/user.info?handles=" &amp; $F15),
  _xlpm.r, _xlfn.TEXTBEFORE(_xlfn.TEXTAFTER(_xlpm.j, """rating"":"), ","),
  IFERROR(--_xlpm.r, "未评级/无数据")
)</f>
        <v>2261</v>
      </c>
      <c r="H15" s="4" t="s">
        <v>49</v>
      </c>
      <c r="I15" s="5">
        <f>_xlfn.LET(
  _xlpm.j, _xlfn.WEBSERVICE("https://codeforces.com/api/user.info?handles=" &amp; $H15),
  _xlpm.r, _xlfn.TEXTBEFORE(_xlfn.TEXTAFTER(_xlpm.j, """rating"":"), ","),
  IFERROR(--_xlpm.r, "未评级/无数据")
)</f>
        <v>2359</v>
      </c>
      <c r="J15" s="2">
        <v>2527</v>
      </c>
    </row>
    <row r="16" spans="1:10" x14ac:dyDescent="0.3">
      <c r="A16" s="2">
        <v>15</v>
      </c>
      <c r="B16" s="2" t="s">
        <v>7</v>
      </c>
      <c r="C16" s="7" t="s">
        <v>57</v>
      </c>
      <c r="D16" s="4" t="s">
        <v>50</v>
      </c>
      <c r="E16" s="5">
        <f>_xlfn.LET(
  _xlpm.j, _xlfn.WEBSERVICE("https://codeforces.com/api/user.info?handles=" &amp; $D16),
  _xlpm.r, _xlfn.TEXTBEFORE(_xlfn.TEXTAFTER(_xlpm.j, """rating"":"), ","),
  IFERROR(--_xlpm.r, "未评级/无数据")
)</f>
        <v>2199</v>
      </c>
      <c r="F16" s="4" t="s">
        <v>51</v>
      </c>
      <c r="G16" s="5">
        <f t="shared" si="3"/>
        <v>2266</v>
      </c>
      <c r="H16" s="4" t="s">
        <v>52</v>
      </c>
      <c r="I16" s="5">
        <f>_xlfn.LET(
  _xlpm.j, _xlfn.WEBSERVICE("https://codeforces.com/api/user.info?handles=" &amp; $H16),
  _xlpm.r, _xlfn.TEXTBEFORE(_xlfn.TEXTAFTER(_xlpm.j, """rating"":"), ","),
  IFERROR(--_xlpm.r, "未评级/无数据")
)</f>
        <v>2108</v>
      </c>
      <c r="J16" s="2">
        <v>2434</v>
      </c>
    </row>
    <row r="18" spans="8:10" x14ac:dyDescent="0.3">
      <c r="H18" s="11" t="s">
        <v>70</v>
      </c>
      <c r="I18" s="11"/>
      <c r="J18" s="10">
        <f>MIN(MIN(E2:E16),MIN(MIN(G2:G16),MIN(I2:I16)))</f>
        <v>1765</v>
      </c>
    </row>
    <row r="19" spans="8:10" x14ac:dyDescent="0.3">
      <c r="H19" s="9" t="s">
        <v>71</v>
      </c>
      <c r="I19" s="9"/>
      <c r="J19" s="10">
        <f>MAX(MAX(E2:E16),MAX(MAX(G2:G16),MAX(I2:I16)))</f>
        <v>3083</v>
      </c>
    </row>
    <row r="20" spans="8:10" x14ac:dyDescent="0.3">
      <c r="H20" s="9" t="s">
        <v>72</v>
      </c>
      <c r="I20" s="9"/>
      <c r="J20" s="10">
        <f>MAX(J2:J16)</f>
        <v>3165</v>
      </c>
    </row>
  </sheetData>
  <mergeCells count="3">
    <mergeCell ref="H19:I19"/>
    <mergeCell ref="H20:I20"/>
    <mergeCell ref="H18:I18"/>
  </mergeCells>
  <phoneticPr fontId="1" type="noConversion"/>
  <conditionalFormatting sqref="D2:D16">
    <cfRule type="expression" dxfId="47" priority="17">
      <formula>E2&gt;=3000</formula>
    </cfRule>
    <cfRule type="expression" dxfId="46" priority="18">
      <formula>AND(E2&gt;=2600,E2&lt;3000)</formula>
    </cfRule>
    <cfRule type="expression" dxfId="45" priority="19">
      <formula>AND(E2&gt;=2400,E2&lt;2600)</formula>
    </cfRule>
    <cfRule type="expression" dxfId="44" priority="20">
      <formula>AND(E2&gt;=2300,E2&lt;2400)</formula>
    </cfRule>
    <cfRule type="expression" dxfId="43" priority="21">
      <formula>AND(E2&gt;=2100,E2&lt;2300)</formula>
    </cfRule>
    <cfRule type="expression" dxfId="42" priority="22">
      <formula>AND(E2&gt;=1900,E2&lt;2100)</formula>
    </cfRule>
    <cfRule type="expression" dxfId="41" priority="23">
      <formula>AND(E2&gt;=1600,E2&lt;1900)</formula>
    </cfRule>
    <cfRule type="expression" dxfId="40" priority="24">
      <formula>E2&lt;1200</formula>
    </cfRule>
  </conditionalFormatting>
  <conditionalFormatting sqref="F2:F16">
    <cfRule type="expression" dxfId="39" priority="9">
      <formula>G2&gt;=3000</formula>
    </cfRule>
    <cfRule type="expression" dxfId="38" priority="10">
      <formula>AND(G2&gt;=2600,G2&lt;3000)</formula>
    </cfRule>
    <cfRule type="expression" dxfId="37" priority="11">
      <formula>AND(G2&gt;=2400,G2&lt;2600)</formula>
    </cfRule>
    <cfRule type="expression" dxfId="36" priority="12">
      <formula>AND(G2&gt;=2300,G2&lt;2400)</formula>
    </cfRule>
    <cfRule type="expression" dxfId="35" priority="13">
      <formula>AND(G2&gt;=2100,G2&lt;2300)</formula>
    </cfRule>
    <cfRule type="expression" dxfId="34" priority="14">
      <formula>AND(G2&gt;=1900,G2&lt;2100)</formula>
    </cfRule>
    <cfRule type="expression" dxfId="33" priority="15">
      <formula>AND(G2&gt;=1600,G2&lt;1900)</formula>
    </cfRule>
    <cfRule type="expression" dxfId="32" priority="16">
      <formula>G2&lt;1200</formula>
    </cfRule>
  </conditionalFormatting>
  <conditionalFormatting sqref="H2:H16">
    <cfRule type="expression" dxfId="31" priority="1">
      <formula>I2&gt;=3000</formula>
    </cfRule>
    <cfRule type="expression" dxfId="30" priority="2">
      <formula>AND(I2&gt;=2600,I2&lt;3000)</formula>
    </cfRule>
    <cfRule type="expression" dxfId="29" priority="3">
      <formula>AND(I2&gt;=2400,I2&lt;2600)</formula>
    </cfRule>
    <cfRule type="expression" dxfId="28" priority="4">
      <formula>AND(I2&gt;=2300,I2&lt;2400)</formula>
    </cfRule>
    <cfRule type="expression" dxfId="27" priority="5">
      <formula>AND(I2&gt;=2100,I2&lt;2300)</formula>
    </cfRule>
    <cfRule type="expression" dxfId="26" priority="6">
      <formula>AND(I2&gt;=1900,I2&lt;2100)</formula>
    </cfRule>
    <cfRule type="expression" dxfId="25" priority="7">
      <formula>AND(I2&gt;=1600,I2&lt;1900)</formula>
    </cfRule>
    <cfRule type="expression" dxfId="24" priority="8">
      <formula>I2&lt;1200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2F67-C903-496E-8880-2293F8002ABD}">
  <dimension ref="A1:J14"/>
  <sheetViews>
    <sheetView tabSelected="1" workbookViewId="0">
      <selection activeCell="F14" sqref="F14"/>
    </sheetView>
  </sheetViews>
  <sheetFormatPr defaultRowHeight="14" x14ac:dyDescent="0.3"/>
  <cols>
    <col min="1" max="1" width="5.1640625" bestFit="1" customWidth="1"/>
    <col min="2" max="2" width="7.5" bestFit="1" customWidth="1"/>
    <col min="3" max="3" width="18.33203125" customWidth="1"/>
    <col min="5" max="5" width="6.25" customWidth="1"/>
    <col min="6" max="6" width="11.9140625" bestFit="1" customWidth="1"/>
    <col min="7" max="7" width="6.25" customWidth="1"/>
    <col min="8" max="8" width="12.6640625" bestFit="1" customWidth="1"/>
    <col min="9" max="10" width="6.25" customWidth="1"/>
  </cols>
  <sheetData>
    <row r="1" spans="1:10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4</v>
      </c>
      <c r="G1" s="1" t="s">
        <v>53</v>
      </c>
      <c r="H1" s="1" t="s">
        <v>5</v>
      </c>
      <c r="I1" s="1" t="s">
        <v>53</v>
      </c>
      <c r="J1" s="1" t="s">
        <v>6</v>
      </c>
    </row>
    <row r="2" spans="1:10" x14ac:dyDescent="0.3">
      <c r="A2" s="2">
        <v>1</v>
      </c>
      <c r="B2" s="2" t="s">
        <v>7</v>
      </c>
      <c r="C2" s="7" t="s">
        <v>54</v>
      </c>
      <c r="D2" s="4" t="s">
        <v>92</v>
      </c>
      <c r="E2" s="5">
        <f>_xlfn.LET(
  _xlpm.j, _xlfn.WEBSERVICE("https://codeforces.com/api/user.info?handles=" &amp; $D2),
  _xlpm.r, _xlfn.TEXTBEFORE(_xlfn.TEXTAFTER(_xlpm.j, """rating"":"), ","),
  IFERROR(--_xlpm.r, "未评级/无数据")
)</f>
        <v>3409</v>
      </c>
      <c r="F2" s="4" t="s">
        <v>94</v>
      </c>
      <c r="G2" s="5">
        <f>_xlfn.LET(
  _xlpm.j, _xlfn.WEBSERVICE("https://codeforces.com/api/user.info?handles=" &amp; $F2),
  _xlpm.r, _xlfn.TEXTBEFORE(_xlfn.TEXTAFTER(_xlpm.j, """rating"":"), ","),
  IFERROR(--_xlpm.r, "未评级/无数据")
)</f>
        <v>3172</v>
      </c>
      <c r="H2" s="4" t="s">
        <v>96</v>
      </c>
      <c r="I2" s="5">
        <f>_xlfn.LET(
  _xlpm.j, _xlfn.WEBSERVICE("https://codeforces.com/api/user.info?handles=" &amp; $H2),
  _xlpm.r, _xlfn.TEXTBEFORE(_xlfn.TEXTAFTER(_xlpm.j, """rating"":"), ","),
  IFERROR(--_xlpm.r, "未评级/无数据")
)</f>
        <v>3159</v>
      </c>
      <c r="J2" s="2">
        <v>3512.6271999999999</v>
      </c>
    </row>
    <row r="3" spans="1:10" x14ac:dyDescent="0.3">
      <c r="A3" s="2">
        <v>2</v>
      </c>
      <c r="B3" s="2" t="s">
        <v>7</v>
      </c>
      <c r="C3" s="7" t="s">
        <v>69</v>
      </c>
      <c r="D3" s="4" t="s">
        <v>93</v>
      </c>
      <c r="E3" s="5">
        <f t="shared" ref="E3:E10" si="0">_xlfn.LET(
  _xlpm.j, _xlfn.WEBSERVICE("https://codeforces.com/api/user.info?handles=" &amp; $D3),
  _xlpm.r, _xlfn.TEXTBEFORE(_xlfn.TEXTAFTER(_xlpm.j, """rating"":"), ","),
  IFERROR(--_xlpm.r, "未评级/无数据")
)</f>
        <v>3401</v>
      </c>
      <c r="F3" s="4" t="s">
        <v>95</v>
      </c>
      <c r="G3" s="5">
        <f>_xlfn.LET(
  _xlpm.j, _xlfn.WEBSERVICE("https://codeforces.com/api/user.info?handles=" &amp; $F3),
  _xlpm.r, _xlfn.TEXTBEFORE(_xlfn.TEXTAFTER(_xlpm.j, """rating"":"), ","),
  IFERROR(--_xlpm.r, "未评级/无数据")
)</f>
        <v>3093</v>
      </c>
      <c r="H3" s="4" t="s">
        <v>73</v>
      </c>
      <c r="I3" s="5">
        <f>_xlfn.LET(
  _xlpm.j, _xlfn.WEBSERVICE("https://codeforces.com/api/user.info?handles=" &amp; $H3),
  _xlpm.r, _xlfn.TEXTBEFORE(_xlfn.TEXTAFTER(_xlpm.j, """rating"":"), ","),
  IFERROR(--_xlpm.r, "未评级/无数据")
)</f>
        <v>2815</v>
      </c>
      <c r="J3" s="2">
        <v>3380.7973999999999</v>
      </c>
    </row>
    <row r="4" spans="1:10" x14ac:dyDescent="0.3">
      <c r="A4" s="2">
        <v>3</v>
      </c>
      <c r="B4" s="2" t="s">
        <v>7</v>
      </c>
      <c r="C4" s="7" t="s">
        <v>55</v>
      </c>
      <c r="D4" s="4" t="s">
        <v>30</v>
      </c>
      <c r="E4" s="5">
        <f t="shared" si="0"/>
        <v>3083</v>
      </c>
      <c r="F4" s="4" t="s">
        <v>10</v>
      </c>
      <c r="G4" s="5">
        <f t="shared" ref="G4:G10" si="1">_xlfn.LET(
  _xlpm.j, _xlfn.WEBSERVICE("https://codeforces.com/api/user.info?handles=" &amp; $F4),
  _xlpm.r, _xlfn.TEXTBEFORE(_xlfn.TEXTAFTER(_xlpm.j, """rating"":"), ","),
  IFERROR(--_xlpm.r, "未评级/无数据")
)</f>
        <v>2709</v>
      </c>
      <c r="H4" s="4" t="s">
        <v>11</v>
      </c>
      <c r="I4" s="5">
        <f>_xlfn.LET(
  _xlpm.j, _xlfn.WEBSERVICE("https://codeforces.com/api/user.info?handles=" &amp; $H4),
  _xlpm.r, _xlfn.TEXTBEFORE(_xlfn.TEXTAFTER(_xlpm.j, """rating"":"), ","),
  IFERROR(--_xlpm.r, "未评级/无数据")
)</f>
        <v>2208</v>
      </c>
      <c r="J4" s="2">
        <v>3136.3335999999999</v>
      </c>
    </row>
    <row r="5" spans="1:10" x14ac:dyDescent="0.3">
      <c r="A5" s="2">
        <v>4</v>
      </c>
      <c r="B5" s="2" t="s">
        <v>7</v>
      </c>
      <c r="C5" s="7" t="s">
        <v>56</v>
      </c>
      <c r="D5" s="4" t="s">
        <v>74</v>
      </c>
      <c r="E5" s="5">
        <f t="shared" si="0"/>
        <v>2767</v>
      </c>
      <c r="F5" s="4" t="s">
        <v>75</v>
      </c>
      <c r="G5" s="5">
        <f>_xlfn.LET(
  _xlpm.j, _xlfn.WEBSERVICE("https://codeforces.com/api/user.info?handles=" &amp; $F5),
  _xlpm.r, _xlfn.TEXTBEFORE(_xlfn.TEXTAFTER(_xlpm.j, """rating"":"), ","),
  IFERROR(--_xlpm.r, "未评级/无数据")
)</f>
        <v>2532</v>
      </c>
      <c r="H5" s="4" t="s">
        <v>76</v>
      </c>
      <c r="I5" s="5">
        <f>_xlfn.LET(
  _xlpm.j, _xlfn.WEBSERVICE("https://codeforces.com/api/user.info?handles=" &amp; $H5),
  _xlpm.r, _xlfn.TEXTBEFORE(_xlfn.TEXTAFTER(_xlpm.j, """rating"":"), ","),
  IFERROR(--_xlpm.r, "未评级/无数据")
)</f>
        <v>2484</v>
      </c>
      <c r="J5" s="2">
        <v>2865.0481</v>
      </c>
    </row>
    <row r="6" spans="1:10" x14ac:dyDescent="0.3">
      <c r="A6" s="2">
        <v>5</v>
      </c>
      <c r="B6" s="2" t="s">
        <v>7</v>
      </c>
      <c r="C6" s="7" t="s">
        <v>99</v>
      </c>
      <c r="D6" s="4" t="s">
        <v>77</v>
      </c>
      <c r="E6" s="5">
        <f t="shared" si="0"/>
        <v>2790</v>
      </c>
      <c r="F6" s="4" t="s">
        <v>78</v>
      </c>
      <c r="G6" s="5">
        <f>_xlfn.LET(
  _xlpm.j, _xlfn.WEBSERVICE("https://codeforces.com/api/user.info?handles=" &amp; $F6),
  _xlpm.r, _xlfn.TEXTBEFORE(_xlfn.TEXTAFTER(_xlpm.j, """rating"":"), ","),
  IFERROR(--_xlpm.r, "未评级/无数据")
)</f>
        <v>2409</v>
      </c>
      <c r="H6" s="4" t="s">
        <v>79</v>
      </c>
      <c r="I6" s="5">
        <f>_xlfn.LET(
  _xlpm.j, _xlfn.WEBSERVICE("https://codeforces.com/api/user.info?handles=" &amp; $H6),
  _xlpm.r, _xlfn.TEXTBEFORE(_xlfn.TEXTAFTER(_xlpm.j, """rating"":"), ","),
  IFERROR(--_xlpm.r, "未评级/无数据")
)</f>
        <v>2160</v>
      </c>
      <c r="J6" s="2">
        <v>2852.1749</v>
      </c>
    </row>
    <row r="7" spans="1:10" x14ac:dyDescent="0.3">
      <c r="A7" s="2">
        <v>6</v>
      </c>
      <c r="B7" s="2" t="s">
        <v>7</v>
      </c>
      <c r="C7" s="7" t="s">
        <v>98</v>
      </c>
      <c r="D7" s="4" t="s">
        <v>80</v>
      </c>
      <c r="E7" s="5">
        <f t="shared" si="0"/>
        <v>2834</v>
      </c>
      <c r="F7" s="4" t="s">
        <v>81</v>
      </c>
      <c r="G7" s="5">
        <f>_xlfn.LET(
  _xlpm.j, _xlfn.WEBSERVICE("https://codeforces.com/api/user.info?handles=" &amp; $F7),
  _xlpm.r, _xlfn.TEXTBEFORE(_xlfn.TEXTAFTER(_xlpm.j, """rating"":"), ","),
  IFERROR(--_xlpm.r, "未评级/无数据")
)</f>
        <v>2230</v>
      </c>
      <c r="H7" s="4" t="s">
        <v>82</v>
      </c>
      <c r="I7" s="5">
        <f>_xlfn.LET(
  _xlpm.j, _xlfn.WEBSERVICE("https://codeforces.com/api/user.info?handles=" &amp; $H7),
  _xlpm.r, _xlfn.TEXTBEFORE(_xlfn.TEXTAFTER(_xlpm.j, """rating"":"), ","),
  IFERROR(--_xlpm.r, "未评级/无数据")
)</f>
        <v>1618</v>
      </c>
      <c r="J7" s="2">
        <v>2841.8717999999999</v>
      </c>
    </row>
    <row r="8" spans="1:10" x14ac:dyDescent="0.3">
      <c r="A8" s="2">
        <v>7</v>
      </c>
      <c r="B8" s="2" t="s">
        <v>7</v>
      </c>
      <c r="C8" s="7" t="s">
        <v>97</v>
      </c>
      <c r="D8" s="4" t="s">
        <v>83</v>
      </c>
      <c r="E8" s="5">
        <f t="shared" si="0"/>
        <v>2749</v>
      </c>
      <c r="F8" s="4" t="s">
        <v>84</v>
      </c>
      <c r="G8" s="5">
        <f>_xlfn.LET(
  _xlpm.j, _xlfn.WEBSERVICE("https://codeforces.com/api/user.info?handles=" &amp; $F8),
  _xlpm.r, _xlfn.TEXTBEFORE(_xlfn.TEXTAFTER(_xlpm.j, """rating"":"), ","),
  IFERROR(--_xlpm.r, "未评级/无数据")
)</f>
        <v>2400</v>
      </c>
      <c r="H8" s="4" t="s">
        <v>85</v>
      </c>
      <c r="I8" s="5">
        <f>_xlfn.LET(
  _xlpm.j, _xlfn.WEBSERVICE("https://codeforces.com/api/user.info?handles=" &amp; $H8),
  _xlpm.r, _xlfn.TEXTBEFORE(_xlfn.TEXTAFTER(_xlpm.j, """rating"":"), ","),
  IFERROR(--_xlpm.r, "未评级/无数据")
)</f>
        <v>1985</v>
      </c>
      <c r="J8" s="2">
        <v>2789.7748000000001</v>
      </c>
    </row>
    <row r="9" spans="1:10" x14ac:dyDescent="0.3">
      <c r="A9" s="3">
        <v>8</v>
      </c>
      <c r="B9" s="3" t="s">
        <v>7</v>
      </c>
      <c r="C9" s="8" t="s">
        <v>61</v>
      </c>
      <c r="D9" s="6" t="s">
        <v>86</v>
      </c>
      <c r="E9" s="5">
        <f>_xlfn.LET(
  _xlpm.j, _xlfn.WEBSERVICE("https://codeforces.com/api/user.info?handles=" &amp; $D9),
  _xlpm.r, _xlfn.TEXTBEFORE(_xlfn.TEXTAFTER(_xlpm.j, """rating"":"), ","),
  IFERROR(--_xlpm.r, "未评级/无数据")
)</f>
        <v>2647</v>
      </c>
      <c r="F9" s="6" t="s">
        <v>87</v>
      </c>
      <c r="G9" s="5">
        <f>_xlfn.LET(
  _xlpm.j, _xlfn.WEBSERVICE("https://codeforces.com/api/user.info?handles=" &amp; $F9),
  _xlpm.r, _xlfn.TEXTBEFORE(_xlfn.TEXTAFTER(_xlpm.j, """rating"":"), ","),
  IFERROR(--_xlpm.r, "未评级/无数据")
)</f>
        <v>2421</v>
      </c>
      <c r="H9" s="6" t="s">
        <v>88</v>
      </c>
      <c r="I9" s="5">
        <f>_xlfn.LET(
  _xlpm.j, _xlfn.WEBSERVICE("https://codeforces.com/api/user.info?handles=" &amp; $H9),
  _xlpm.r, _xlfn.TEXTBEFORE(_xlfn.TEXTAFTER(_xlpm.j, """rating"":"), ","),
  IFERROR(--_xlpm.r, "未评级/无数据")
)</f>
        <v>1826</v>
      </c>
      <c r="J9" s="3">
        <v>2654.652</v>
      </c>
    </row>
    <row r="10" spans="1:10" x14ac:dyDescent="0.3">
      <c r="A10" s="2">
        <v>9</v>
      </c>
      <c r="B10" s="2" t="s">
        <v>7</v>
      </c>
      <c r="C10" s="7" t="s">
        <v>60</v>
      </c>
      <c r="D10" s="4" t="s">
        <v>89</v>
      </c>
      <c r="E10" s="5">
        <f>_xlfn.LET(
  _xlpm.j, _xlfn.WEBSERVICE("https://codeforces.com/api/user.info?handles=" &amp; $D10),
  _xlpm.r, _xlfn.TEXTBEFORE(_xlfn.TEXTAFTER(_xlpm.j, """rating"":"), ","),
  IFERROR(--_xlpm.r, "未评级/无数据")
)</f>
        <v>2643</v>
      </c>
      <c r="F10" s="4" t="s">
        <v>90</v>
      </c>
      <c r="G10" s="5">
        <f t="shared" si="1"/>
        <v>2216</v>
      </c>
      <c r="H10" s="4" t="s">
        <v>91</v>
      </c>
      <c r="I10" s="5">
        <f>_xlfn.LET(
  _xlpm.j, _xlfn.WEBSERVICE("https://codeforces.com/api/user.info?handles=" &amp; $H10),
  _xlpm.r, _xlfn.TEXTBEFORE(_xlfn.TEXTAFTER(_xlpm.j, """rating"":"), ","),
  IFERROR(--_xlpm.r, "未评级/无数据")
)</f>
        <v>2144</v>
      </c>
      <c r="J10" s="2">
        <v>2654.1165000000001</v>
      </c>
    </row>
    <row r="12" spans="1:10" x14ac:dyDescent="0.3">
      <c r="H12" s="11" t="s">
        <v>70</v>
      </c>
      <c r="I12" s="11"/>
      <c r="J12" s="10">
        <f>MIN(MIN(E2:E10),MIN(MIN(G2:G10),MIN(I2:I10)))</f>
        <v>1618</v>
      </c>
    </row>
    <row r="13" spans="1:10" x14ac:dyDescent="0.3">
      <c r="H13" s="9" t="s">
        <v>71</v>
      </c>
      <c r="I13" s="9"/>
      <c r="J13" s="10">
        <f>MAX(MAX(E2:E10),MAX(MAX(G2:G10),MAX(I2:I10)))</f>
        <v>3409</v>
      </c>
    </row>
    <row r="14" spans="1:10" x14ac:dyDescent="0.3">
      <c r="H14" s="9" t="s">
        <v>72</v>
      </c>
      <c r="I14" s="9"/>
      <c r="J14" s="10">
        <f>MAX(J2:J10)</f>
        <v>3512.6271999999999</v>
      </c>
    </row>
  </sheetData>
  <mergeCells count="3">
    <mergeCell ref="H12:I12"/>
    <mergeCell ref="H13:I13"/>
    <mergeCell ref="H14:I14"/>
  </mergeCells>
  <phoneticPr fontId="1" type="noConversion"/>
  <conditionalFormatting sqref="D2:D10 F2:F10 H2:H10">
    <cfRule type="expression" dxfId="23" priority="17">
      <formula>E2&gt;=3000</formula>
    </cfRule>
    <cfRule type="expression" dxfId="22" priority="18">
      <formula>AND(E2&gt;=2600,E2&lt;3000)</formula>
    </cfRule>
    <cfRule type="expression" dxfId="21" priority="19">
      <formula>AND(E2&gt;=2400,E2&lt;2600)</formula>
    </cfRule>
    <cfRule type="expression" dxfId="20" priority="20">
      <formula>AND(E2&gt;=2300,E2&lt;2400)</formula>
    </cfRule>
    <cfRule type="expression" dxfId="19" priority="21">
      <formula>AND(E2&gt;=2100,E2&lt;2300)</formula>
    </cfRule>
    <cfRule type="expression" dxfId="18" priority="22">
      <formula>AND(E2&gt;=1900,E2&lt;2100)</formula>
    </cfRule>
    <cfRule type="expression" dxfId="17" priority="23">
      <formula>AND(E2&gt;=1600,E2&lt;1900)</formula>
    </cfRule>
    <cfRule type="expression" dxfId="16" priority="24">
      <formula>E2&lt;1200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71F8-A978-4B48-88C9-98F13AD198EF}">
  <dimension ref="A1:J12"/>
  <sheetViews>
    <sheetView workbookViewId="0">
      <selection activeCell="C27" sqref="C27"/>
    </sheetView>
  </sheetViews>
  <sheetFormatPr defaultRowHeight="14" x14ac:dyDescent="0.3"/>
  <cols>
    <col min="1" max="1" width="5.1640625" bestFit="1" customWidth="1"/>
    <col min="2" max="2" width="7.5" bestFit="1" customWidth="1"/>
    <col min="3" max="3" width="18.33203125" customWidth="1"/>
    <col min="5" max="5" width="6.25" customWidth="1"/>
    <col min="6" max="6" width="11.9140625" bestFit="1" customWidth="1"/>
    <col min="7" max="7" width="6.25" customWidth="1"/>
    <col min="8" max="8" width="12.6640625" bestFit="1" customWidth="1"/>
    <col min="9" max="10" width="6.25" customWidth="1"/>
  </cols>
  <sheetData>
    <row r="1" spans="1:10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4</v>
      </c>
      <c r="G1" s="1" t="s">
        <v>53</v>
      </c>
      <c r="H1" s="1" t="s">
        <v>5</v>
      </c>
      <c r="I1" s="1" t="s">
        <v>53</v>
      </c>
      <c r="J1" s="1" t="s">
        <v>6</v>
      </c>
    </row>
    <row r="2" spans="1:10" x14ac:dyDescent="0.3">
      <c r="A2" s="2">
        <v>1</v>
      </c>
      <c r="B2" s="2" t="s">
        <v>7</v>
      </c>
      <c r="C2" s="7" t="s">
        <v>69</v>
      </c>
      <c r="D2" s="4" t="s">
        <v>117</v>
      </c>
      <c r="E2" s="5">
        <f>_xlfn.LET(
  _xlpm.j, _xlfn.WEBSERVICE("https://codeforces.com/api/user.info?handles=" &amp; $D2),
  _xlpm.r, _xlfn.TEXTBEFORE(_xlfn.TEXTAFTER(_xlpm.j, """rating"":"), ","),
  IFERROR(--_xlpm.r, "未评级/无数据")
)</f>
        <v>3137</v>
      </c>
      <c r="F2" s="4" t="s">
        <v>118</v>
      </c>
      <c r="G2" s="5">
        <f>_xlfn.LET(
  _xlpm.j, _xlfn.WEBSERVICE("https://codeforces.com/api/user.info?handles=" &amp; $F2),
  _xlpm.r, _xlfn.TEXTBEFORE(_xlfn.TEXTAFTER(_xlpm.j, """rating"":"), ","),
  IFERROR(--_xlpm.r, "未评级/无数据")
)</f>
        <v>3052</v>
      </c>
      <c r="H2" s="4" t="s">
        <v>100</v>
      </c>
      <c r="I2" s="5">
        <f>_xlfn.LET(
  _xlpm.j, _xlfn.WEBSERVICE("https://codeforces.com/api/user.info?handles=" &amp; $H2),
  _xlpm.r, _xlfn.TEXTBEFORE(_xlfn.TEXTAFTER(_xlpm.j, """rating"":"), ","),
  IFERROR(--_xlpm.r, "未评级/无数据")
)</f>
        <v>2490</v>
      </c>
      <c r="J2" s="2">
        <v>3512.6271999999999</v>
      </c>
    </row>
    <row r="3" spans="1:10" x14ac:dyDescent="0.3">
      <c r="A3" s="2">
        <v>2</v>
      </c>
      <c r="B3" s="2" t="s">
        <v>7</v>
      </c>
      <c r="C3" s="7" t="s">
        <v>54</v>
      </c>
      <c r="D3" s="4" t="s">
        <v>119</v>
      </c>
      <c r="E3" s="5">
        <f>_xlfn.LET(
  _xlpm.j, _xlfn.WEBSERVICE("https://codeforces.com/api/user.info?handles=" &amp; $D3),
  _xlpm.r, _xlfn.TEXTBEFORE(_xlfn.TEXTAFTER(_xlpm.j, """rating"":"), ","),
  IFERROR(--_xlpm.r, "未评级/无数据")
)</f>
        <v>3113</v>
      </c>
      <c r="F3" s="4" t="s">
        <v>101</v>
      </c>
      <c r="G3" s="5">
        <f>_xlfn.LET(
  _xlpm.j, _xlfn.WEBSERVICE("https://codeforces.com/api/user.info?handles=" &amp; $F3),
  _xlpm.r, _xlfn.TEXTBEFORE(_xlfn.TEXTAFTER(_xlpm.j, """rating"":"), ","),
  IFERROR(--_xlpm.r, "未评级/无数据")
)</f>
        <v>2935</v>
      </c>
      <c r="H3" s="4" t="s">
        <v>102</v>
      </c>
      <c r="I3" s="5">
        <f>_xlfn.LET(
  _xlpm.j, _xlfn.WEBSERVICE("https://codeforces.com/api/user.info?handles=" &amp; $H3),
  _xlpm.r, _xlfn.TEXTBEFORE(_xlfn.TEXTAFTER(_xlpm.j, """rating"":"), ","),
  IFERROR(--_xlpm.r, "未评级/无数据")
)</f>
        <v>2767</v>
      </c>
      <c r="J3" s="2">
        <v>3380.7973999999999</v>
      </c>
    </row>
    <row r="4" spans="1:10" x14ac:dyDescent="0.3">
      <c r="A4" s="2">
        <v>3</v>
      </c>
      <c r="B4" s="2" t="s">
        <v>7</v>
      </c>
      <c r="C4" s="7" t="s">
        <v>97</v>
      </c>
      <c r="D4" s="4" t="s">
        <v>120</v>
      </c>
      <c r="E4" s="5">
        <f>_xlfn.LET(
  _xlpm.j, _xlfn.WEBSERVICE("https://codeforces.com/api/user.info?handles=" &amp; $D4),
  _xlpm.r, _xlfn.TEXTBEFORE(_xlfn.TEXTAFTER(_xlpm.j, """rating"":"), ","),
  IFERROR(--_xlpm.r, "未评级/无数据")
)</f>
        <v>3033</v>
      </c>
      <c r="F4" s="4" t="s">
        <v>103</v>
      </c>
      <c r="G4" s="5">
        <f>_xlfn.LET(
  _xlpm.j, _xlfn.WEBSERVICE("https://codeforces.com/api/user.info?handles=" &amp; $F4),
  _xlpm.r, _xlfn.TEXTBEFORE(_xlfn.TEXTAFTER(_xlpm.j, """rating"":"), ","),
  IFERROR(--_xlpm.r, "未评级/无数据")
)</f>
        <v>2780</v>
      </c>
      <c r="H4" s="4" t="s">
        <v>104</v>
      </c>
      <c r="I4" s="5">
        <f>_xlfn.LET(
  _xlpm.j, _xlfn.WEBSERVICE("https://codeforces.com/api/user.info?handles=" &amp; $H4),
  _xlpm.r, _xlfn.TEXTBEFORE(_xlfn.TEXTAFTER(_xlpm.j, """rating"":"), ","),
  IFERROR(--_xlpm.r, "未评级/无数据")
)</f>
        <v>2693</v>
      </c>
      <c r="J4" s="2">
        <v>3136.3335999999999</v>
      </c>
    </row>
    <row r="5" spans="1:10" x14ac:dyDescent="0.3">
      <c r="A5" s="2">
        <v>4</v>
      </c>
      <c r="B5" s="2" t="s">
        <v>7</v>
      </c>
      <c r="C5" s="7" t="s">
        <v>68</v>
      </c>
      <c r="D5" s="4" t="s">
        <v>105</v>
      </c>
      <c r="E5" s="5">
        <f>_xlfn.LET(
  _xlpm.j, _xlfn.WEBSERVICE("https://codeforces.com/api/user.info?handles=" &amp; $D5),
  _xlpm.r, _xlfn.TEXTBEFORE(_xlfn.TEXTAFTER(_xlpm.j, """rating"":"), ","),
  IFERROR(--_xlpm.r, "未评级/无数据")
)</f>
        <v>2432</v>
      </c>
      <c r="F5" s="4" t="s">
        <v>106</v>
      </c>
      <c r="G5" s="5">
        <f>_xlfn.LET(
  _xlpm.j, _xlfn.WEBSERVICE("https://codeforces.com/api/user.info?handles=" &amp; $F5),
  _xlpm.r, _xlfn.TEXTBEFORE(_xlfn.TEXTAFTER(_xlpm.j, """rating"":"), ","),
  IFERROR(--_xlpm.r, "未评级/无数据")
)</f>
        <v>2409</v>
      </c>
      <c r="H5" s="4" t="s">
        <v>107</v>
      </c>
      <c r="I5" s="5">
        <f>_xlfn.LET(
  _xlpm.j, _xlfn.WEBSERVICE("https://codeforces.com/api/user.info?handles=" &amp; $H5),
  _xlpm.r, _xlfn.TEXTBEFORE(_xlfn.TEXTAFTER(_xlpm.j, """rating"":"), ","),
  IFERROR(--_xlpm.r, "未评级/无数据")
)</f>
        <v>2258</v>
      </c>
      <c r="J5" s="2">
        <v>2865.0481</v>
      </c>
    </row>
    <row r="6" spans="1:10" x14ac:dyDescent="0.3">
      <c r="A6" s="2">
        <v>5</v>
      </c>
      <c r="B6" s="2" t="s">
        <v>7</v>
      </c>
      <c r="C6" s="7" t="s">
        <v>64</v>
      </c>
      <c r="D6" s="4" t="s">
        <v>108</v>
      </c>
      <c r="E6" s="5">
        <f>_xlfn.LET(
  _xlpm.j, _xlfn.WEBSERVICE("https://codeforces.com/api/user.info?handles=" &amp; $D6),
  _xlpm.r, _xlfn.TEXTBEFORE(_xlfn.TEXTAFTER(_xlpm.j, """rating"":"), ","),
  IFERROR(--_xlpm.r, "未评级/无数据")
)</f>
        <v>2388</v>
      </c>
      <c r="F6" s="4" t="s">
        <v>109</v>
      </c>
      <c r="G6" s="5">
        <f>_xlfn.LET(
  _xlpm.j, _xlfn.WEBSERVICE("https://codeforces.com/api/user.info?handles=" &amp; $F6),
  _xlpm.r, _xlfn.TEXTBEFORE(_xlfn.TEXTAFTER(_xlpm.j, """rating"":"), ","),
  IFERROR(--_xlpm.r, "未评级/无数据")
)</f>
        <v>2338</v>
      </c>
      <c r="H6" s="4" t="s">
        <v>110</v>
      </c>
      <c r="I6" s="5">
        <f>_xlfn.LET(
  _xlpm.j, _xlfn.WEBSERVICE("https://codeforces.com/api/user.info?handles=" &amp; $H6),
  _xlpm.r, _xlfn.TEXTBEFORE(_xlfn.TEXTAFTER(_xlpm.j, """rating"":"), ","),
  IFERROR(--_xlpm.r, "未评级/无数据")
)</f>
        <v>2190</v>
      </c>
      <c r="J6" s="2">
        <v>2852.1749</v>
      </c>
    </row>
    <row r="7" spans="1:10" x14ac:dyDescent="0.3">
      <c r="A7" s="2">
        <v>6</v>
      </c>
      <c r="B7" s="2" t="s">
        <v>7</v>
      </c>
      <c r="C7" s="7" t="s">
        <v>121</v>
      </c>
      <c r="D7" s="4" t="s">
        <v>111</v>
      </c>
      <c r="E7" s="5">
        <f>_xlfn.LET(
  _xlpm.j, _xlfn.WEBSERVICE("https://codeforces.com/api/user.info?handles=" &amp; $D7),
  _xlpm.r, _xlfn.TEXTBEFORE(_xlfn.TEXTAFTER(_xlpm.j, """rating"":"), ","),
  IFERROR(--_xlpm.r, "未评级/无数据")
)</f>
        <v>2462</v>
      </c>
      <c r="F7" s="4" t="s">
        <v>112</v>
      </c>
      <c r="G7" s="5">
        <f>_xlfn.LET(
  _xlpm.j, _xlfn.WEBSERVICE("https://codeforces.com/api/user.info?handles=" &amp; $F7),
  _xlpm.r, _xlfn.TEXTBEFORE(_xlfn.TEXTAFTER(_xlpm.j, """rating"":"), ","),
  IFERROR(--_xlpm.r, "未评级/无数据")
)</f>
        <v>2197</v>
      </c>
      <c r="H7" s="4" t="s">
        <v>113</v>
      </c>
      <c r="I7" s="5">
        <f>_xlfn.LET(
  _xlpm.j, _xlfn.WEBSERVICE("https://codeforces.com/api/user.info?handles=" &amp; $H7),
  _xlpm.r, _xlfn.TEXTBEFORE(_xlfn.TEXTAFTER(_xlpm.j, """rating"":"), ","),
  IFERROR(--_xlpm.r, "未评级/无数据")
)</f>
        <v>2118</v>
      </c>
      <c r="J7" s="2">
        <v>2841.8717999999999</v>
      </c>
    </row>
    <row r="8" spans="1:10" x14ac:dyDescent="0.3">
      <c r="A8" s="2">
        <v>7</v>
      </c>
      <c r="B8" s="2" t="s">
        <v>7</v>
      </c>
      <c r="C8" s="7" t="s">
        <v>122</v>
      </c>
      <c r="D8" s="4" t="s">
        <v>114</v>
      </c>
      <c r="E8" s="5">
        <f>_xlfn.LET(
  _xlpm.j, _xlfn.WEBSERVICE("https://codeforces.com/api/user.info?handles=" &amp; $D8),
  _xlpm.r, _xlfn.TEXTBEFORE(_xlfn.TEXTAFTER(_xlpm.j, """rating"":"), ","),
  IFERROR(--_xlpm.r, "未评级/无数据")
)</f>
        <v>2500</v>
      </c>
      <c r="F8" s="4" t="s">
        <v>115</v>
      </c>
      <c r="G8" s="5">
        <f>_xlfn.LET(
  _xlpm.j, _xlfn.WEBSERVICE("https://codeforces.com/api/user.info?handles=" &amp; $F8),
  _xlpm.r, _xlfn.TEXTBEFORE(_xlfn.TEXTAFTER(_xlpm.j, """rating"":"), ","),
  IFERROR(--_xlpm.r, "未评级/无数据")
)</f>
        <v>2279</v>
      </c>
      <c r="H8" s="4" t="s">
        <v>116</v>
      </c>
      <c r="I8" s="5">
        <f>_xlfn.LET(
  _xlpm.j, _xlfn.WEBSERVICE("https://codeforces.com/api/user.info?handles=" &amp; $H8),
  _xlpm.r, _xlfn.TEXTBEFORE(_xlfn.TEXTAFTER(_xlpm.j, """rating"":"), ","),
  IFERROR(--_xlpm.r, "未评级/无数据")
)</f>
        <v>2013</v>
      </c>
      <c r="J8" s="2">
        <v>2789.7748000000001</v>
      </c>
    </row>
    <row r="10" spans="1:10" x14ac:dyDescent="0.3">
      <c r="H10" s="11" t="s">
        <v>70</v>
      </c>
      <c r="I10" s="11"/>
      <c r="J10" s="10">
        <f>MIN(MIN(E2:E8),MIN(MIN(G2:G8),MIN(I2:I8)))</f>
        <v>2013</v>
      </c>
    </row>
    <row r="11" spans="1:10" x14ac:dyDescent="0.3">
      <c r="H11" s="9" t="s">
        <v>71</v>
      </c>
      <c r="I11" s="9"/>
      <c r="J11" s="10">
        <f>MAX(MAX(E2:E8),MAX(MAX(G2:G8),MAX(I2:I8)))</f>
        <v>3137</v>
      </c>
    </row>
    <row r="12" spans="1:10" x14ac:dyDescent="0.3">
      <c r="H12" s="9" t="s">
        <v>72</v>
      </c>
      <c r="I12" s="9"/>
      <c r="J12" s="10">
        <f>MAX(J2:J8)</f>
        <v>3512.6271999999999</v>
      </c>
    </row>
  </sheetData>
  <mergeCells count="3">
    <mergeCell ref="H10:I10"/>
    <mergeCell ref="H11:I11"/>
    <mergeCell ref="H12:I12"/>
  </mergeCells>
  <phoneticPr fontId="1" type="noConversion"/>
  <conditionalFormatting sqref="D2:D8 F2:F8 H2:H8">
    <cfRule type="expression" dxfId="15" priority="1">
      <formula>E2&gt;=3000</formula>
    </cfRule>
    <cfRule type="expression" dxfId="14" priority="2">
      <formula>AND(E2&gt;=2600,E2&lt;3000)</formula>
    </cfRule>
    <cfRule type="expression" dxfId="13" priority="3">
      <formula>AND(E2&gt;=2400,E2&lt;2600)</formula>
    </cfRule>
    <cfRule type="expression" dxfId="12" priority="4">
      <formula>AND(E2&gt;=2300,E2&lt;2400)</formula>
    </cfRule>
    <cfRule type="expression" dxfId="11" priority="5">
      <formula>AND(E2&gt;=2100,E2&lt;2300)</formula>
    </cfRule>
    <cfRule type="expression" dxfId="10" priority="6">
      <formula>AND(E2&gt;=1900,E2&lt;2100)</formula>
    </cfRule>
    <cfRule type="expression" dxfId="9" priority="7">
      <formula>AND(E2&gt;=1600,E2&lt;1900)</formula>
    </cfRule>
    <cfRule type="expression" dxfId="8" priority="8">
      <formula>E2&lt;1200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BC85-07FB-444A-9B02-78F14D31ED0A}">
  <dimension ref="A1:J19"/>
  <sheetViews>
    <sheetView workbookViewId="0">
      <selection activeCell="H27" sqref="H27"/>
    </sheetView>
  </sheetViews>
  <sheetFormatPr defaultRowHeight="14" x14ac:dyDescent="0.3"/>
  <cols>
    <col min="1" max="1" width="5.1640625" bestFit="1" customWidth="1"/>
    <col min="2" max="2" width="7.5" bestFit="1" customWidth="1"/>
    <col min="3" max="3" width="18.33203125" customWidth="1"/>
    <col min="5" max="5" width="6.25" customWidth="1"/>
    <col min="6" max="6" width="11.9140625" bestFit="1" customWidth="1"/>
    <col min="7" max="7" width="6.25" customWidth="1"/>
    <col min="8" max="8" width="12.6640625" bestFit="1" customWidth="1"/>
    <col min="9" max="10" width="6.25" customWidth="1"/>
  </cols>
  <sheetData>
    <row r="1" spans="1:10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4</v>
      </c>
      <c r="G1" s="1" t="s">
        <v>53</v>
      </c>
      <c r="H1" s="1" t="s">
        <v>5</v>
      </c>
      <c r="I1" s="1" t="s">
        <v>53</v>
      </c>
      <c r="J1" s="1" t="s">
        <v>6</v>
      </c>
    </row>
    <row r="2" spans="1:10" x14ac:dyDescent="0.3">
      <c r="A2" s="2">
        <v>1</v>
      </c>
      <c r="B2" s="2" t="s">
        <v>7</v>
      </c>
      <c r="C2" s="7" t="s">
        <v>69</v>
      </c>
      <c r="D2" s="4" t="s">
        <v>123</v>
      </c>
      <c r="E2" s="5">
        <f>_xlfn.LET(
  _xlpm.j, _xlfn.WEBSERVICE("https://codeforces.com/api/user.info?handles=" &amp; $D2),
  _xlpm.r, _xlfn.TEXTBEFORE(_xlfn.TEXTAFTER(_xlpm.j, """rating"":"), ","),
  IFERROR(--_xlpm.r, "未评级/无数据")
)</f>
        <v>3705</v>
      </c>
      <c r="F2" s="4" t="s">
        <v>124</v>
      </c>
      <c r="G2" s="5">
        <f>_xlfn.LET(
  _xlpm.j, _xlfn.WEBSERVICE("https://codeforces.com/api/user.info?handles=" &amp; $F2),
  _xlpm.r, _xlfn.TEXTBEFORE(_xlfn.TEXTAFTER(_xlpm.j, """rating"":"), ","),
  IFERROR(--_xlpm.r, "未评级/无数据")
)</f>
        <v>2719</v>
      </c>
      <c r="H2" s="4" t="s">
        <v>162</v>
      </c>
      <c r="I2" s="5">
        <f>_xlfn.LET(
  _xlpm.j, _xlfn.WEBSERVICE("https://codeforces.com/api/user.info?handles=" &amp; $H2),
  _xlpm.r, _xlfn.TEXTBEFORE(_xlfn.TEXTAFTER(_xlpm.j, """rating"":"), ","),
  IFERROR(--_xlpm.r, "未评级/无数据")
)</f>
        <v>2245</v>
      </c>
      <c r="J2" s="2">
        <v>3165</v>
      </c>
    </row>
    <row r="3" spans="1:10" x14ac:dyDescent="0.3">
      <c r="A3" s="2">
        <v>2</v>
      </c>
      <c r="B3" s="2" t="s">
        <v>7</v>
      </c>
      <c r="C3" s="7" t="s">
        <v>161</v>
      </c>
      <c r="D3" s="4" t="s">
        <v>125</v>
      </c>
      <c r="E3" s="5">
        <f>_xlfn.LET(
  _xlpm.j, _xlfn.WEBSERVICE("https://codeforces.com/api/user.info?handles=" &amp; $D3),
  _xlpm.r, _xlfn.TEXTBEFORE(_xlfn.TEXTAFTER(_xlpm.j, """rating"":"), ","),
  IFERROR(--_xlpm.r, "未评级/无数据")
)</f>
        <v>3183</v>
      </c>
      <c r="F3" s="4" t="s">
        <v>126</v>
      </c>
      <c r="G3" s="5"/>
      <c r="H3" s="4" t="s">
        <v>126</v>
      </c>
      <c r="I3" s="5"/>
      <c r="J3" s="2">
        <v>3141</v>
      </c>
    </row>
    <row r="4" spans="1:10" x14ac:dyDescent="0.3">
      <c r="A4" s="2">
        <v>3</v>
      </c>
      <c r="B4" s="2" t="s">
        <v>7</v>
      </c>
      <c r="C4" s="7" t="s">
        <v>54</v>
      </c>
      <c r="D4" s="4" t="s">
        <v>127</v>
      </c>
      <c r="E4" s="5">
        <f>_xlfn.LET(
  _xlpm.j, _xlfn.WEBSERVICE("https://codeforces.com/api/user.info?handles=" &amp; $D4),
  _xlpm.r, _xlfn.TEXTBEFORE(_xlfn.TEXTAFTER(_xlpm.j, """rating"":"), ","),
  IFERROR(--_xlpm.r, "未评级/无数据")
)</f>
        <v>3030</v>
      </c>
      <c r="F4" s="4" t="s">
        <v>128</v>
      </c>
      <c r="G4" s="5">
        <f>_xlfn.LET(
  _xlpm.j, _xlfn.WEBSERVICE("https://codeforces.com/api/user.info?handles=" &amp; $F4),
  _xlpm.r, _xlfn.TEXTBEFORE(_xlfn.TEXTAFTER(_xlpm.j, """rating"":"), ","),
  IFERROR(--_xlpm.r, "未评级/无数据")
)</f>
        <v>2720</v>
      </c>
      <c r="H4" s="4" t="s">
        <v>129</v>
      </c>
      <c r="I4" s="5">
        <f>_xlfn.LET(
  _xlpm.j, _xlfn.WEBSERVICE("https://codeforces.com/api/user.info?handles=" &amp; $H4),
  _xlpm.r, _xlfn.TEXTBEFORE(_xlfn.TEXTAFTER(_xlpm.j, """rating"":"), ","),
  IFERROR(--_xlpm.r, "未评级/无数据")
)</f>
        <v>2714</v>
      </c>
      <c r="J4" s="2">
        <v>3056</v>
      </c>
    </row>
    <row r="5" spans="1:10" x14ac:dyDescent="0.3">
      <c r="A5" s="2">
        <v>4</v>
      </c>
      <c r="B5" s="2" t="s">
        <v>7</v>
      </c>
      <c r="C5" s="7" t="s">
        <v>56</v>
      </c>
      <c r="D5" s="4" t="s">
        <v>130</v>
      </c>
      <c r="E5" s="5">
        <f>_xlfn.LET(
  _xlpm.j, _xlfn.WEBSERVICE("https://codeforces.com/api/user.info?handles=" &amp; $D5),
  _xlpm.r, _xlfn.TEXTBEFORE(_xlfn.TEXTAFTER(_xlpm.j, """rating"":"), ","),
  IFERROR(--_xlpm.r, "未评级/无数据")
)</f>
        <v>2875</v>
      </c>
      <c r="F5" s="4" t="s">
        <v>131</v>
      </c>
      <c r="G5" s="5">
        <f>_xlfn.LET(
  _xlpm.j, _xlfn.WEBSERVICE("https://codeforces.com/api/user.info?handles=" &amp; $F5),
  _xlpm.r, _xlfn.TEXTBEFORE(_xlfn.TEXTAFTER(_xlpm.j, """rating"":"), ","),
  IFERROR(--_xlpm.r, "未评级/无数据")
)</f>
        <v>3027</v>
      </c>
      <c r="H5" s="4" t="s">
        <v>132</v>
      </c>
      <c r="I5" s="5">
        <f>_xlfn.LET(
  _xlpm.j, _xlfn.WEBSERVICE("https://codeforces.com/api/user.info?handles=" &amp; $H5),
  _xlpm.r, _xlfn.TEXTBEFORE(_xlfn.TEXTAFTER(_xlpm.j, """rating"":"), ","),
  IFERROR(--_xlpm.r, "未评级/无数据")
)</f>
        <v>2779</v>
      </c>
      <c r="J5" s="2">
        <v>3055</v>
      </c>
    </row>
    <row r="6" spans="1:10" x14ac:dyDescent="0.3">
      <c r="A6" s="2">
        <v>5</v>
      </c>
      <c r="B6" s="2" t="s">
        <v>7</v>
      </c>
      <c r="C6" s="7" t="s">
        <v>160</v>
      </c>
      <c r="D6" s="4" t="s">
        <v>133</v>
      </c>
      <c r="E6" s="5">
        <f>_xlfn.LET(
  _xlpm.j, _xlfn.WEBSERVICE("https://codeforces.com/api/user.info?handles=" &amp; $D6),
  _xlpm.r, _xlfn.TEXTBEFORE(_xlfn.TEXTAFTER(_xlpm.j, """rating"":"), ","),
  IFERROR(--_xlpm.r, "未评级/无数据")
)</f>
        <v>2788</v>
      </c>
      <c r="F6" s="4" t="s">
        <v>134</v>
      </c>
      <c r="G6" s="5">
        <f>_xlfn.LET(
  _xlpm.j, _xlfn.WEBSERVICE("https://codeforces.com/api/user.info?handles=" &amp; $F6),
  _xlpm.r, _xlfn.TEXTBEFORE(_xlfn.TEXTAFTER(_xlpm.j, """rating"":"), ","),
  IFERROR(--_xlpm.r, "未评级/无数据")
)</f>
        <v>2456</v>
      </c>
      <c r="H6" s="4" t="s">
        <v>135</v>
      </c>
      <c r="I6" s="5">
        <f>_xlfn.LET(
  _xlpm.j, _xlfn.WEBSERVICE("https://codeforces.com/api/user.info?handles=" &amp; $H6),
  _xlpm.r, _xlfn.TEXTBEFORE(_xlfn.TEXTAFTER(_xlpm.j, """rating"":"), ","),
  IFERROR(--_xlpm.r, "未评级/无数据")
)</f>
        <v>2430</v>
      </c>
      <c r="J6" s="2">
        <v>2891</v>
      </c>
    </row>
    <row r="7" spans="1:10" x14ac:dyDescent="0.3">
      <c r="A7" s="2">
        <v>6</v>
      </c>
      <c r="B7" s="2" t="s">
        <v>7</v>
      </c>
      <c r="C7" s="7" t="s">
        <v>159</v>
      </c>
      <c r="D7" s="4" t="s">
        <v>136</v>
      </c>
      <c r="E7" s="5">
        <f>_xlfn.LET(
  _xlpm.j, _xlfn.WEBSERVICE("https://codeforces.com/api/user.info?handles=" &amp; $D7),
  _xlpm.r, _xlfn.TEXTBEFORE(_xlfn.TEXTAFTER(_xlpm.j, """rating"":"), ","),
  IFERROR(--_xlpm.r, "未评级/无数据")
)</f>
        <v>2800</v>
      </c>
      <c r="F7" s="4" t="s">
        <v>137</v>
      </c>
      <c r="G7" s="5">
        <f>_xlfn.LET(
  _xlpm.j, _xlfn.WEBSERVICE("https://codeforces.com/api/user.info?handles=" &amp; $F7),
  _xlpm.r, _xlfn.TEXTBEFORE(_xlfn.TEXTAFTER(_xlpm.j, """rating"":"), ","),
  IFERROR(--_xlpm.r, "未评级/无数据")
)</f>
        <v>2484</v>
      </c>
      <c r="H7" s="4" t="s">
        <v>138</v>
      </c>
      <c r="I7" s="5">
        <f>_xlfn.LET(
  _xlpm.j, _xlfn.WEBSERVICE("https://codeforces.com/api/user.info?handles=" &amp; $H7),
  _xlpm.r, _xlfn.TEXTBEFORE(_xlfn.TEXTAFTER(_xlpm.j, """rating"":"), ","),
  IFERROR(--_xlpm.r, "未评级/无数据")
)</f>
        <v>2197</v>
      </c>
      <c r="J7" s="2">
        <v>2887</v>
      </c>
    </row>
    <row r="8" spans="1:10" x14ac:dyDescent="0.3">
      <c r="A8" s="2">
        <v>7</v>
      </c>
      <c r="B8" s="2" t="s">
        <v>7</v>
      </c>
      <c r="C8" s="7" t="s">
        <v>97</v>
      </c>
      <c r="D8" s="4" t="s">
        <v>83</v>
      </c>
      <c r="E8" s="5">
        <f>_xlfn.LET(
  _xlpm.j, _xlfn.WEBSERVICE("https://codeforces.com/api/user.info?handles=" &amp; $D8),
  _xlpm.r, _xlfn.TEXTBEFORE(_xlfn.TEXTAFTER(_xlpm.j, """rating"":"), ","),
  IFERROR(--_xlpm.r, "未评级/无数据")
)</f>
        <v>2749</v>
      </c>
      <c r="F8" s="4" t="s">
        <v>84</v>
      </c>
      <c r="G8" s="5">
        <f>_xlfn.LET(
  _xlpm.j, _xlfn.WEBSERVICE("https://codeforces.com/api/user.info?handles=" &amp; $F8),
  _xlpm.r, _xlfn.TEXTBEFORE(_xlfn.TEXTAFTER(_xlpm.j, """rating"":"), ","),
  IFERROR(--_xlpm.r, "未评级/无数据")
)</f>
        <v>2400</v>
      </c>
      <c r="H8" s="4" t="s">
        <v>85</v>
      </c>
      <c r="I8" s="5">
        <f>_xlfn.LET(
  _xlpm.j, _xlfn.WEBSERVICE("https://codeforces.com/api/user.info?handles=" &amp; $H8),
  _xlpm.r, _xlfn.TEXTBEFORE(_xlfn.TEXTAFTER(_xlpm.j, """rating"":"), ","),
  IFERROR(--_xlpm.r, "未评级/无数据")
)</f>
        <v>1985</v>
      </c>
      <c r="J8" s="2">
        <v>2752</v>
      </c>
    </row>
    <row r="9" spans="1:10" x14ac:dyDescent="0.3">
      <c r="A9" s="3">
        <v>8</v>
      </c>
      <c r="B9" s="3" t="s">
        <v>7</v>
      </c>
      <c r="C9" s="8" t="s">
        <v>158</v>
      </c>
      <c r="D9" s="6" t="s">
        <v>139</v>
      </c>
      <c r="E9" s="5">
        <f>_xlfn.LET(
  _xlpm.j, _xlfn.WEBSERVICE("https://codeforces.com/api/user.info?handles=" &amp; $D9),
  _xlpm.r, _xlfn.TEXTBEFORE(_xlfn.TEXTAFTER(_xlpm.j, """rating"":"), ","),
  IFERROR(--_xlpm.r, "未评级/无数据")
)</f>
        <v>2699</v>
      </c>
      <c r="F9" s="6" t="s">
        <v>140</v>
      </c>
      <c r="G9" s="5">
        <f>_xlfn.LET(
  _xlpm.j, _xlfn.WEBSERVICE("https://codeforces.com/api/user.info?handles=" &amp; $F9),
  _xlpm.r, _xlfn.TEXTBEFORE(_xlfn.TEXTAFTER(_xlpm.j, """rating"":"), ","),
  IFERROR(--_xlpm.r, "未评级/无数据")
)</f>
        <v>2056</v>
      </c>
      <c r="H9" s="6"/>
      <c r="I9" s="5"/>
      <c r="J9" s="3">
        <v>2731</v>
      </c>
    </row>
    <row r="10" spans="1:10" x14ac:dyDescent="0.3">
      <c r="A10" s="2">
        <v>9</v>
      </c>
      <c r="B10" s="2" t="s">
        <v>67</v>
      </c>
      <c r="C10" s="7" t="s">
        <v>66</v>
      </c>
      <c r="D10" s="4" t="s">
        <v>141</v>
      </c>
      <c r="E10" s="5">
        <f>_xlfn.LET(
  _xlpm.j, _xlfn.WEBSERVICE("https://codeforces.com/api/user.info?handles=" &amp; $D10),
  _xlpm.r, _xlfn.TEXTBEFORE(_xlfn.TEXTAFTER(_xlpm.j, """rating"":"), ","),
  IFERROR(--_xlpm.r, "未评级/无数据")
)</f>
        <v>2485</v>
      </c>
      <c r="F10" s="4" t="s">
        <v>142</v>
      </c>
      <c r="G10" s="5">
        <f>_xlfn.LET(
  _xlpm.j, _xlfn.WEBSERVICE("https://codeforces.com/api/user.info?handles=" &amp; $F10),
  _xlpm.r, _xlfn.TEXTBEFORE(_xlfn.TEXTAFTER(_xlpm.j, """rating"":"), ","),
  IFERROR(--_xlpm.r, "未评级/无数据")
)</f>
        <v>2460</v>
      </c>
      <c r="H10" s="4" t="s">
        <v>143</v>
      </c>
      <c r="I10" s="5">
        <f>_xlfn.LET(
  _xlpm.j, _xlfn.WEBSERVICE("https://codeforces.com/api/user.info?handles=" &amp; $H10),
  _xlpm.r, _xlfn.TEXTBEFORE(_xlfn.TEXTAFTER(_xlpm.j, """rating"":"), ","),
  IFERROR(--_xlpm.r, "未评级/无数据")
)</f>
        <v>2418</v>
      </c>
      <c r="J10" s="2">
        <v>2675</v>
      </c>
    </row>
    <row r="11" spans="1:10" x14ac:dyDescent="0.3">
      <c r="A11" s="2">
        <v>10</v>
      </c>
      <c r="B11" s="2" t="s">
        <v>7</v>
      </c>
      <c r="C11" s="7" t="s">
        <v>122</v>
      </c>
      <c r="D11" s="4" t="s">
        <v>144</v>
      </c>
      <c r="E11" s="5">
        <f>_xlfn.LET(
  _xlpm.j, _xlfn.WEBSERVICE("https://codeforces.com/api/user.info?handles=" &amp; $D11),
  _xlpm.r, _xlfn.TEXTBEFORE(_xlfn.TEXTAFTER(_xlpm.j, """rating"":"), ","),
  IFERROR(--_xlpm.r, "未评级/无数据")
)</f>
        <v>2635</v>
      </c>
      <c r="F11" s="4" t="s">
        <v>145</v>
      </c>
      <c r="G11" s="5">
        <f>_xlfn.LET(
  _xlpm.j, _xlfn.WEBSERVICE("https://codeforces.com/api/user.info?handles=" &amp; $F11),
  _xlpm.r, _xlfn.TEXTBEFORE(_xlfn.TEXTAFTER(_xlpm.j, """rating"":"), ","),
  IFERROR(--_xlpm.r, "未评级/无数据")
)</f>
        <v>2252</v>
      </c>
      <c r="H11" s="4" t="s">
        <v>146</v>
      </c>
      <c r="I11" s="5">
        <f>_xlfn.LET(
  _xlpm.j, _xlfn.WEBSERVICE("https://codeforces.com/api/user.info?handles=" &amp; $H11),
  _xlpm.r, _xlfn.TEXTBEFORE(_xlfn.TEXTAFTER(_xlpm.j, """rating"":"), ","),
  IFERROR(--_xlpm.r, "未评级/无数据")
)</f>
        <v>2140</v>
      </c>
      <c r="J11" s="2">
        <v>2652</v>
      </c>
    </row>
    <row r="12" spans="1:10" x14ac:dyDescent="0.3">
      <c r="A12" s="2">
        <v>11</v>
      </c>
      <c r="B12" s="2" t="s">
        <v>7</v>
      </c>
      <c r="C12" s="7" t="s">
        <v>68</v>
      </c>
      <c r="D12" s="4" t="s">
        <v>147</v>
      </c>
      <c r="E12" s="5">
        <f>_xlfn.LET(
  _xlpm.j, _xlfn.WEBSERVICE("https://codeforces.com/api/user.info?handles=" &amp; $D12),
  _xlpm.r, _xlfn.TEXTBEFORE(_xlfn.TEXTAFTER(_xlpm.j, """rating"":"), ","),
  IFERROR(--_xlpm.r, "未评级/无数据")
)</f>
        <v>2453</v>
      </c>
      <c r="F12" s="4" t="s">
        <v>148</v>
      </c>
      <c r="G12" s="5">
        <f>_xlfn.LET(
  _xlpm.j, _xlfn.WEBSERVICE("https://codeforces.com/api/user.info?handles=" &amp; $F12),
  _xlpm.r, _xlfn.TEXTBEFORE(_xlfn.TEXTAFTER(_xlpm.j, """rating"":"), ","),
  IFERROR(--_xlpm.r, "未评级/无数据")
)</f>
        <v>2366</v>
      </c>
      <c r="H12" s="4" t="s">
        <v>149</v>
      </c>
      <c r="I12" s="5"/>
      <c r="J12" s="2">
        <v>2650</v>
      </c>
    </row>
    <row r="13" spans="1:10" x14ac:dyDescent="0.3">
      <c r="A13" s="2">
        <v>12</v>
      </c>
      <c r="B13" s="2" t="s">
        <v>7</v>
      </c>
      <c r="C13" s="7" t="s">
        <v>64</v>
      </c>
      <c r="D13" s="4" t="s">
        <v>150</v>
      </c>
      <c r="E13" s="5">
        <f>_xlfn.LET(
  _xlpm.j, _xlfn.WEBSERVICE("https://codeforces.com/api/user.info?handles=" &amp; $D13),
  _xlpm.r, _xlfn.TEXTBEFORE(_xlfn.TEXTAFTER(_xlpm.j, """rating"":"), ","),
  IFERROR(--_xlpm.r, "未评级/无数据")
)</f>
        <v>2401</v>
      </c>
      <c r="F13" s="4" t="s">
        <v>151</v>
      </c>
      <c r="G13" s="5">
        <f>_xlfn.LET(
  _xlpm.j, _xlfn.WEBSERVICE("https://codeforces.com/api/user.info?handles=" &amp; $F13),
  _xlpm.r, _xlfn.TEXTBEFORE(_xlfn.TEXTAFTER(_xlpm.j, """rating"":"), ","),
  IFERROR(--_xlpm.r, "未评级/无数据")
)</f>
        <v>2283</v>
      </c>
      <c r="H13" s="12">
        <v>200815147</v>
      </c>
      <c r="I13" s="5">
        <f>_xlfn.LET(
  _xlpm.j, _xlfn.WEBSERVICE("https://codeforces.com/api/user.info?handles=" &amp; $H13),
  _xlpm.r, _xlfn.TEXTBEFORE(_xlfn.TEXTAFTER(_xlpm.j, """rating"":"), ","),
  IFERROR(--_xlpm.r, "未评级/无数据")
)</f>
        <v>2237</v>
      </c>
      <c r="J13" s="2">
        <v>2562</v>
      </c>
    </row>
    <row r="14" spans="1:10" x14ac:dyDescent="0.3">
      <c r="A14" s="2">
        <v>13</v>
      </c>
      <c r="B14" s="2" t="s">
        <v>7</v>
      </c>
      <c r="C14" s="7" t="s">
        <v>63</v>
      </c>
      <c r="D14" s="4" t="s">
        <v>152</v>
      </c>
      <c r="E14" s="5">
        <f>_xlfn.LET(
  _xlpm.j, _xlfn.WEBSERVICE("https://codeforces.com/api/user.info?handles=" &amp; $D14),
  _xlpm.r, _xlfn.TEXTBEFORE(_xlfn.TEXTAFTER(_xlpm.j, """rating"":"), ","),
  IFERROR(--_xlpm.r, "未评级/无数据")
)</f>
        <v>2428</v>
      </c>
      <c r="F14" s="4" t="s">
        <v>153</v>
      </c>
      <c r="G14" s="5">
        <f>_xlfn.LET(
  _xlpm.j, _xlfn.WEBSERVICE("https://codeforces.com/api/user.info?handles=" &amp; $F14),
  _xlpm.r, _xlfn.TEXTBEFORE(_xlfn.TEXTAFTER(_xlpm.j, """rating"":"), ","),
  IFERROR(--_xlpm.r, "未评级/无数据")
)</f>
        <v>2202</v>
      </c>
      <c r="H14" s="4" t="s">
        <v>154</v>
      </c>
      <c r="I14" s="5">
        <f>_xlfn.LET(
  _xlpm.j, _xlfn.WEBSERVICE("https://codeforces.com/api/user.info?handles=" &amp; $H14),
  _xlpm.r, _xlfn.TEXTBEFORE(_xlfn.TEXTAFTER(_xlpm.j, """rating"":"), ","),
  IFERROR(--_xlpm.r, "未评级/无数据")
)</f>
        <v>2181</v>
      </c>
      <c r="J14" s="2">
        <v>2530</v>
      </c>
    </row>
    <row r="15" spans="1:10" x14ac:dyDescent="0.3">
      <c r="A15" s="2">
        <v>14</v>
      </c>
      <c r="B15" s="2" t="s">
        <v>7</v>
      </c>
      <c r="C15" s="7" t="s">
        <v>61</v>
      </c>
      <c r="D15" s="4" t="s">
        <v>155</v>
      </c>
      <c r="E15" s="5">
        <f>_xlfn.LET(
  _xlpm.j, _xlfn.WEBSERVICE("https://codeforces.com/api/user.info?handles=" &amp; $D15),
  _xlpm.r, _xlfn.TEXTBEFORE(_xlfn.TEXTAFTER(_xlpm.j, """rating"":"), ","),
  IFERROR(--_xlpm.r, "未评级/无数据")
)</f>
        <v>2312</v>
      </c>
      <c r="F15" s="4" t="s">
        <v>156</v>
      </c>
      <c r="G15" s="5">
        <v>1900</v>
      </c>
      <c r="H15" s="4" t="s">
        <v>157</v>
      </c>
      <c r="I15" s="5">
        <f>_xlfn.LET(
  _xlpm.j, _xlfn.WEBSERVICE("https://codeforces.com/api/user.info?handles=" &amp; $H15),
  _xlpm.r, _xlfn.TEXTBEFORE(_xlfn.TEXTAFTER(_xlpm.j, """rating"":"), ","),
  IFERROR(--_xlpm.r, "未评级/无数据")
)</f>
        <v>1803</v>
      </c>
      <c r="J15" s="2">
        <v>2527</v>
      </c>
    </row>
    <row r="17" spans="8:10" x14ac:dyDescent="0.3">
      <c r="H17" s="11" t="s">
        <v>70</v>
      </c>
      <c r="I17" s="11"/>
      <c r="J17" s="10">
        <f>MIN(MIN(E2:E15),MIN(MIN(G2:G15),MIN(I2:I15)))</f>
        <v>1803</v>
      </c>
    </row>
    <row r="18" spans="8:10" x14ac:dyDescent="0.3">
      <c r="H18" s="9" t="s">
        <v>71</v>
      </c>
      <c r="I18" s="9"/>
      <c r="J18" s="10">
        <f>MAX(MAX(E2:E15),MAX(MAX(G2:G15),MAX(I2:I15)))</f>
        <v>3705</v>
      </c>
    </row>
    <row r="19" spans="8:10" x14ac:dyDescent="0.3">
      <c r="H19" s="9" t="s">
        <v>72</v>
      </c>
      <c r="I19" s="9"/>
      <c r="J19" s="10">
        <f>MAX(J2:J15)</f>
        <v>3165</v>
      </c>
    </row>
  </sheetData>
  <mergeCells count="3">
    <mergeCell ref="H17:I17"/>
    <mergeCell ref="H18:I18"/>
    <mergeCell ref="H19:I19"/>
  </mergeCells>
  <phoneticPr fontId="1" type="noConversion"/>
  <conditionalFormatting sqref="D2:D15 F2:F15 H2:H15">
    <cfRule type="expression" dxfId="7" priority="17">
      <formula>E2&gt;=3000</formula>
    </cfRule>
    <cfRule type="expression" dxfId="6" priority="18">
      <formula>AND(E2&gt;=2600,E2&lt;3000)</formula>
    </cfRule>
    <cfRule type="expression" dxfId="5" priority="19">
      <formula>AND(E2&gt;=2400,E2&lt;2600)</formula>
    </cfRule>
    <cfRule type="expression" dxfId="4" priority="20">
      <formula>AND(E2&gt;=2300,E2&lt;2400)</formula>
    </cfRule>
    <cfRule type="expression" dxfId="3" priority="21">
      <formula>AND(E2&gt;=2100,E2&lt;2300)</formula>
    </cfRule>
    <cfRule type="expression" dxfId="2" priority="22">
      <formula>AND(E2&gt;=1900,E2&lt;2100)</formula>
    </cfRule>
    <cfRule type="expression" dxfId="1" priority="23">
      <formula>AND(E2&gt;=1600,E2&lt;1900)</formula>
    </cfRule>
    <cfRule type="expression" dxfId="0" priority="24">
      <formula>E2&lt;1200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2025-11-08T15:50:51Z</dcterms:created>
  <dcterms:modified xsi:type="dcterms:W3CDTF">2025-11-09T05:38:26Z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2025-11-08T16:23:29Z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ba1995ee-d1f9-489a-8ffd-7bed18c38dce</vt:lpwstr>
  </property>
  <property fmtid="{D5CDD505-2E9C-101B-9397-08002B2CF9AE}" pid="7" name="MSIP_Label_defa4170-0d19-0005-0004-bc88714345d2_ActionId">
    <vt:lpwstr>d5c7429c-9d83-4981-a212-ba3913a29a50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